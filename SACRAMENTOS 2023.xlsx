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60" yWindow="15" windowWidth="28755" windowHeight="12750" activeTab="4"/>
  </bookViews>
  <sheets>
    <sheet name="MATRIMONIO" sheetId="1" r:id="rId1"/>
    <sheet name="IMPRESION-MATRIMONIO" sheetId="4" r:id="rId2"/>
    <sheet name="1ra.COMUNION" sheetId="5" r:id="rId3"/>
    <sheet name="IMPRESION-COMUNION" sheetId="6" r:id="rId4"/>
    <sheet name="CONFIRMACION" sheetId="8" r:id="rId5"/>
    <sheet name="IMPRESION-CONFIRMACION" sheetId="15" r:id="rId6"/>
    <sheet name="BAUTIZMO" sheetId="12" r:id="rId7"/>
    <sheet name="IMPRESION-BAUTIZMO" sheetId="16" r:id="rId8"/>
    <sheet name="CATECUMENOS " sheetId="14" r:id="rId9"/>
    <sheet name="IMPRESION-COMUNION (2)" sheetId="17" r:id="rId10"/>
  </sheets>
  <externalReferences>
    <externalReference r:id="rId11"/>
  </externalReferences>
  <definedNames>
    <definedName name="_xlnm._FilterDatabase" localSheetId="6" hidden="1">BAUTIZMO!$A$5:$V$6</definedName>
    <definedName name="A" localSheetId="9">'1ra.COMUNION'!#REF!</definedName>
    <definedName name="A">'1ra.COMUNION'!#REF!</definedName>
    <definedName name="_xlnm.Print_Area" localSheetId="2">'1ra.COMUNION'!$B$1</definedName>
    <definedName name="_xlnm.Print_Area" localSheetId="6">BAUTIZMO!$A$1</definedName>
    <definedName name="_xlnm.Print_Area" localSheetId="4">CONFIRMACION!$A$1</definedName>
    <definedName name="_xlnm.Print_Area" localSheetId="7">'IMPRESION-BAUTIZMO'!$C$4:$K$16</definedName>
    <definedName name="_xlnm.Print_Area" localSheetId="3">'IMPRESION-COMUNION'!$A$3:$M$16</definedName>
    <definedName name="_xlnm.Print_Area" localSheetId="9">'IMPRESION-COMUNION (2)'!$A$3:$M$16</definedName>
    <definedName name="_xlnm.Print_Area" localSheetId="5">'IMPRESION-CONFIRMACION'!$A$3:$J$17</definedName>
    <definedName name="_xlnm.Print_Area" localSheetId="1">'IMPRESION-MATRIMONIO'!$A$3:$L$16</definedName>
    <definedName name="_xlnm.Print_Area" localSheetId="0">MATRIMONIO!$J$1</definedName>
    <definedName name="DIA" localSheetId="2">'1ra.COMUNION'!#REF!</definedName>
    <definedName name="DIA" localSheetId="6">BAUTIZMO!#REF!</definedName>
    <definedName name="DIA" localSheetId="7">[1]MATRIMONIO!#REF!</definedName>
    <definedName name="DIA" localSheetId="3">MATRIMONIO!#REF!</definedName>
    <definedName name="DIA" localSheetId="9">MATRIMONIO!#REF!</definedName>
    <definedName name="DIA" localSheetId="5">[1]MATRIMONIO!#REF!</definedName>
    <definedName name="DIA">MATRIMONIO!#REF!</definedName>
  </definedNames>
  <calcPr calcId="124519"/>
</workbook>
</file>

<file path=xl/calcChain.xml><?xml version="1.0" encoding="utf-8"?>
<calcChain xmlns="http://schemas.openxmlformats.org/spreadsheetml/2006/main">
  <c r="T153" i="12"/>
  <c r="R153"/>
  <c r="S153"/>
  <c r="T151" l="1"/>
  <c r="R151"/>
  <c r="S151"/>
  <c r="T150"/>
  <c r="R150"/>
  <c r="S150"/>
  <c r="D8" i="6"/>
  <c r="T149" i="12"/>
  <c r="R149"/>
  <c r="S149"/>
  <c r="T152"/>
  <c r="S152"/>
  <c r="R152"/>
  <c r="T148" l="1"/>
  <c r="R148"/>
  <c r="S148"/>
  <c r="T147"/>
  <c r="R147"/>
  <c r="S147"/>
  <c r="T146"/>
  <c r="R146"/>
  <c r="S146"/>
  <c r="T141"/>
  <c r="S141"/>
  <c r="R141"/>
  <c r="T138"/>
  <c r="S138"/>
  <c r="R138"/>
  <c r="R133"/>
  <c r="T133"/>
  <c r="S133"/>
  <c r="T124"/>
  <c r="S124"/>
  <c r="R124"/>
  <c r="T123"/>
  <c r="S123"/>
  <c r="R123"/>
  <c r="T125"/>
  <c r="S125"/>
  <c r="R125"/>
  <c r="R120"/>
  <c r="S120"/>
  <c r="T120"/>
  <c r="T145"/>
  <c r="S145"/>
  <c r="R145"/>
  <c r="T144"/>
  <c r="S144"/>
  <c r="R144"/>
  <c r="T143"/>
  <c r="S143"/>
  <c r="R143"/>
  <c r="T142"/>
  <c r="S142"/>
  <c r="R142"/>
  <c r="T140"/>
  <c r="S140"/>
  <c r="R140"/>
  <c r="T139"/>
  <c r="S139"/>
  <c r="R139"/>
  <c r="T137"/>
  <c r="S137"/>
  <c r="R137"/>
  <c r="T135"/>
  <c r="S135"/>
  <c r="R135"/>
  <c r="T134"/>
  <c r="S134"/>
  <c r="R134"/>
  <c r="T132"/>
  <c r="S132"/>
  <c r="R132"/>
  <c r="T131"/>
  <c r="S131"/>
  <c r="R131"/>
  <c r="T130"/>
  <c r="S130"/>
  <c r="R130"/>
  <c r="T111"/>
  <c r="R111"/>
  <c r="S111"/>
  <c r="C7" i="16" l="1"/>
  <c r="T110" i="12"/>
  <c r="S110"/>
  <c r="R110"/>
  <c r="T129" l="1"/>
  <c r="S129"/>
  <c r="R129"/>
  <c r="T128"/>
  <c r="S128"/>
  <c r="R128"/>
  <c r="T127"/>
  <c r="S127"/>
  <c r="R127"/>
  <c r="T126"/>
  <c r="S126"/>
  <c r="R126"/>
  <c r="T122"/>
  <c r="S122"/>
  <c r="R122"/>
  <c r="T121"/>
  <c r="S121"/>
  <c r="R121"/>
  <c r="T119"/>
  <c r="S119"/>
  <c r="R119"/>
  <c r="T118"/>
  <c r="S118"/>
  <c r="R118"/>
  <c r="T117"/>
  <c r="S117"/>
  <c r="R117"/>
  <c r="T116"/>
  <c r="S116"/>
  <c r="R116"/>
  <c r="T115"/>
  <c r="E10" i="16" s="1"/>
  <c r="S115" i="12"/>
  <c r="R115"/>
  <c r="T114"/>
  <c r="S114"/>
  <c r="R114"/>
  <c r="T113"/>
  <c r="S113"/>
  <c r="R113"/>
  <c r="T112"/>
  <c r="S112"/>
  <c r="R112"/>
  <c r="T109"/>
  <c r="S109"/>
  <c r="R109"/>
  <c r="T108"/>
  <c r="S108"/>
  <c r="R108"/>
  <c r="T107"/>
  <c r="S107"/>
  <c r="R107"/>
  <c r="T106"/>
  <c r="S106"/>
  <c r="R106"/>
  <c r="T105"/>
  <c r="S105"/>
  <c r="R105"/>
  <c r="T104"/>
  <c r="S104"/>
  <c r="R104"/>
  <c r="T103"/>
  <c r="S103"/>
  <c r="R103"/>
  <c r="T101"/>
  <c r="T100"/>
  <c r="T99"/>
  <c r="S101"/>
  <c r="S100"/>
  <c r="S99"/>
  <c r="R101"/>
  <c r="R100"/>
  <c r="R99"/>
  <c r="C12" i="16"/>
  <c r="E12"/>
  <c r="H12"/>
  <c r="C9"/>
  <c r="C8"/>
  <c r="I5"/>
  <c r="C6"/>
  <c r="C4"/>
  <c r="T82" i="12" l="1"/>
  <c r="S82"/>
  <c r="R83"/>
  <c r="R82"/>
  <c r="R80"/>
  <c r="S80"/>
  <c r="T80"/>
  <c r="R79"/>
  <c r="S79"/>
  <c r="T79"/>
  <c r="R81"/>
  <c r="T81"/>
  <c r="S81"/>
  <c r="T83"/>
  <c r="S83"/>
  <c r="T76"/>
  <c r="S76"/>
  <c r="R76"/>
  <c r="T88"/>
  <c r="S88"/>
  <c r="R88"/>
  <c r="I14" i="17"/>
  <c r="C12"/>
  <c r="M9"/>
  <c r="K9"/>
  <c r="H9"/>
  <c r="I8"/>
  <c r="D8"/>
  <c r="C6"/>
  <c r="T74" i="12"/>
  <c r="S74"/>
  <c r="R74"/>
  <c r="R64"/>
  <c r="S64"/>
  <c r="T64"/>
  <c r="T75"/>
  <c r="S75"/>
  <c r="R75"/>
  <c r="T72"/>
  <c r="S72"/>
  <c r="R72"/>
  <c r="T69"/>
  <c r="S69"/>
  <c r="R69"/>
  <c r="R54"/>
  <c r="T102"/>
  <c r="S102"/>
  <c r="R102"/>
  <c r="T98"/>
  <c r="S98"/>
  <c r="R98"/>
  <c r="T97"/>
  <c r="S97"/>
  <c r="R97"/>
  <c r="T96"/>
  <c r="S96"/>
  <c r="R96"/>
  <c r="T95"/>
  <c r="S95"/>
  <c r="R95"/>
  <c r="T94"/>
  <c r="S94"/>
  <c r="R94"/>
  <c r="T93"/>
  <c r="S93"/>
  <c r="R93"/>
  <c r="T92"/>
  <c r="S92"/>
  <c r="R92"/>
  <c r="T91"/>
  <c r="S91"/>
  <c r="R91"/>
  <c r="T90"/>
  <c r="S90"/>
  <c r="R90"/>
  <c r="T89"/>
  <c r="T87"/>
  <c r="S87"/>
  <c r="R87"/>
  <c r="T86"/>
  <c r="S86"/>
  <c r="R86"/>
  <c r="T85"/>
  <c r="S85"/>
  <c r="R85"/>
  <c r="T84"/>
  <c r="S84"/>
  <c r="R84"/>
  <c r="T78"/>
  <c r="S78"/>
  <c r="R78"/>
  <c r="T77"/>
  <c r="S77"/>
  <c r="R77"/>
  <c r="T73"/>
  <c r="S73"/>
  <c r="R73"/>
  <c r="T71"/>
  <c r="S71"/>
  <c r="R71"/>
  <c r="T70"/>
  <c r="S70"/>
  <c r="R70"/>
  <c r="T68"/>
  <c r="S68"/>
  <c r="R68"/>
  <c r="T67"/>
  <c r="S67"/>
  <c r="R67"/>
  <c r="T66"/>
  <c r="S66"/>
  <c r="R66"/>
  <c r="T65"/>
  <c r="S65"/>
  <c r="R65"/>
  <c r="T63"/>
  <c r="S63"/>
  <c r="R63"/>
  <c r="T62"/>
  <c r="S62"/>
  <c r="R62"/>
  <c r="T61"/>
  <c r="S61"/>
  <c r="R61"/>
  <c r="T60"/>
  <c r="S60"/>
  <c r="R60"/>
  <c r="T59"/>
  <c r="S59"/>
  <c r="R59"/>
  <c r="T57"/>
  <c r="S57"/>
  <c r="R57"/>
  <c r="T56"/>
  <c r="S56"/>
  <c r="R56"/>
  <c r="T55"/>
  <c r="S55"/>
  <c r="R55"/>
  <c r="T54"/>
  <c r="S54"/>
  <c r="T53"/>
  <c r="S53"/>
  <c r="R53"/>
  <c r="T52"/>
  <c r="S52"/>
  <c r="R52"/>
  <c r="T51"/>
  <c r="S51"/>
  <c r="R51"/>
  <c r="T50"/>
  <c r="S50"/>
  <c r="R50"/>
  <c r="T49"/>
  <c r="S49"/>
  <c r="R49"/>
  <c r="T48"/>
  <c r="S48"/>
  <c r="R48"/>
  <c r="T47"/>
  <c r="S47"/>
  <c r="R47"/>
  <c r="T46"/>
  <c r="S46"/>
  <c r="R46"/>
  <c r="T45"/>
  <c r="S45"/>
  <c r="R45"/>
  <c r="T44"/>
  <c r="S44"/>
  <c r="R44"/>
  <c r="T43"/>
  <c r="S43"/>
  <c r="R43"/>
  <c r="T42"/>
  <c r="S42"/>
  <c r="R42"/>
  <c r="T41"/>
  <c r="S41"/>
  <c r="R41"/>
  <c r="T40"/>
  <c r="S40"/>
  <c r="R40"/>
  <c r="T39"/>
  <c r="R39"/>
  <c r="S39"/>
  <c r="T38"/>
  <c r="R38"/>
  <c r="S38"/>
  <c r="T37"/>
  <c r="R37"/>
  <c r="S37"/>
  <c r="T36"/>
  <c r="R36"/>
  <c r="S36"/>
  <c r="T35"/>
  <c r="R35"/>
  <c r="S35"/>
  <c r="T34"/>
  <c r="R34"/>
  <c r="S34"/>
  <c r="T33"/>
  <c r="R33"/>
  <c r="S33"/>
  <c r="T32"/>
  <c r="S32"/>
  <c r="R31"/>
  <c r="S31"/>
  <c r="T31"/>
  <c r="L7" i="4"/>
  <c r="I14" i="6"/>
  <c r="S26" i="12"/>
  <c r="R26"/>
  <c r="R25"/>
  <c r="C5" i="16" l="1"/>
  <c r="T30" i="12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T11"/>
  <c r="S30"/>
  <c r="S29"/>
  <c r="S28"/>
  <c r="S27"/>
  <c r="S25"/>
  <c r="S24"/>
  <c r="S23"/>
  <c r="S22"/>
  <c r="S21"/>
  <c r="S20"/>
  <c r="S19"/>
  <c r="S18"/>
  <c r="S17"/>
  <c r="S16"/>
  <c r="S15"/>
  <c r="S14"/>
  <c r="S13"/>
  <c r="S12"/>
  <c r="S11"/>
  <c r="R32"/>
  <c r="R30"/>
  <c r="R29"/>
  <c r="R28"/>
  <c r="R27"/>
  <c r="R24"/>
  <c r="R23"/>
  <c r="R22"/>
  <c r="R21"/>
  <c r="R20"/>
  <c r="R19"/>
  <c r="R18"/>
  <c r="R17"/>
  <c r="R16"/>
  <c r="R15"/>
  <c r="R14"/>
  <c r="R13"/>
  <c r="R12"/>
  <c r="R11"/>
  <c r="T10"/>
  <c r="S10"/>
  <c r="R10"/>
  <c r="E8" i="15" l="1"/>
  <c r="T9" i="12"/>
  <c r="S9"/>
  <c r="R9"/>
  <c r="I8" i="6" l="1"/>
  <c r="I16" i="15"/>
  <c r="F17"/>
  <c r="F16"/>
  <c r="F15"/>
  <c r="F14"/>
  <c r="J12"/>
  <c r="I12"/>
  <c r="H12"/>
  <c r="I8"/>
  <c r="D5"/>
  <c r="C12" i="6"/>
  <c r="M9"/>
  <c r="I9"/>
  <c r="G9"/>
  <c r="C6"/>
  <c r="K11" i="4" l="1"/>
  <c r="T8" i="12"/>
  <c r="S8"/>
  <c r="R8"/>
  <c r="F14" i="4" l="1"/>
  <c r="I13"/>
  <c r="F13"/>
  <c r="C11"/>
  <c r="K9"/>
  <c r="C9"/>
  <c r="I7"/>
  <c r="F7"/>
  <c r="D7"/>
  <c r="C3"/>
</calcChain>
</file>

<file path=xl/sharedStrings.xml><?xml version="1.0" encoding="utf-8"?>
<sst xmlns="http://schemas.openxmlformats.org/spreadsheetml/2006/main" count="9566" uniqueCount="4683">
  <si>
    <t>LIBRO</t>
  </si>
  <si>
    <t>PAGINA</t>
  </si>
  <si>
    <t>PARTIDA</t>
  </si>
  <si>
    <t>TESTIGO1</t>
  </si>
  <si>
    <t>TESTIGO2</t>
  </si>
  <si>
    <t>TESTIGO3</t>
  </si>
  <si>
    <t>TESTIGO4</t>
  </si>
  <si>
    <t>PRESBITERO</t>
  </si>
  <si>
    <t>PAREJA</t>
  </si>
  <si>
    <t>PÁRROCO</t>
  </si>
  <si>
    <t>DIA</t>
  </si>
  <si>
    <t>MES</t>
  </si>
  <si>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</si>
  <si>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</si>
  <si>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</si>
  <si>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</si>
  <si>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</si>
  <si>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</si>
  <si>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</si>
  <si>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</si>
  <si>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</si>
  <si>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OCTUBRE</t>
  </si>
  <si>
    <t>NOVIEMBRE</t>
  </si>
  <si>
    <t>DICIEMBRE</t>
  </si>
  <si>
    <t>PARROCO</t>
  </si>
  <si>
    <t>NIÑO(A)</t>
  </si>
  <si>
    <t>MAMA</t>
  </si>
  <si>
    <t>PAPA</t>
  </si>
  <si>
    <t>MADRINA O PADRINO</t>
  </si>
  <si>
    <t>NOTA: SOLO TECLEAR EN LA COLUMAN A1 EL NUMERO CORRESPONDA EN LA HOJA 1ra.COMUNION</t>
  </si>
  <si>
    <t>PADRINO</t>
  </si>
  <si>
    <t>NIÑA O NIÑO</t>
  </si>
  <si>
    <t>FECHA NACIMIENTO</t>
  </si>
  <si>
    <t>LUGAR</t>
  </si>
  <si>
    <t>DE NACIMIENTO</t>
  </si>
  <si>
    <t>FECHA BAUTISMO</t>
  </si>
  <si>
    <t>CONSTANCIA DE BAUTISMO</t>
  </si>
  <si>
    <t>MINISTRO</t>
  </si>
  <si>
    <t>REGISTRO NO.</t>
  </si>
  <si>
    <t>ARZOBISPO</t>
  </si>
  <si>
    <t xml:space="preserve"> </t>
  </si>
  <si>
    <t xml:space="preserve">         </t>
  </si>
  <si>
    <t>Libro</t>
  </si>
  <si>
    <t>Pagina</t>
  </si>
  <si>
    <t>Acta</t>
  </si>
  <si>
    <t>MADRINA</t>
  </si>
  <si>
    <t>CATECUMENOS VIGILIA PASCUAL 03 ABRIL 2021</t>
  </si>
  <si>
    <t>HERMOSILLO, SONORA</t>
  </si>
  <si>
    <t>Página</t>
  </si>
  <si>
    <t>FERNANDO VAZQUEZ SALVADOR</t>
  </si>
  <si>
    <t xml:space="preserve">ALEJANDRA SALVADOR ZAMORANO </t>
  </si>
  <si>
    <t>EFREN ARISTEO MENDIVIL VALENCIA</t>
  </si>
  <si>
    <t>GERARDO CAMACHO PONCE</t>
  </si>
  <si>
    <t>FERNANDO VAZQUEZ GAMEZ</t>
  </si>
  <si>
    <t>MARIA VICTORIA SALVADOR ZAMORANO</t>
  </si>
  <si>
    <t>EDUARDO ESCALANTE BRUNET</t>
  </si>
  <si>
    <t>JESUS EDUARDO ESCALANTE ROSALES</t>
  </si>
  <si>
    <t>NOE ALBERTO CUAMEA PIÑA</t>
  </si>
  <si>
    <t>MARITZA MARTINEZ MUNGIA</t>
  </si>
  <si>
    <t>ALEJANDRA DALI BRUNET FIGUEROA</t>
  </si>
  <si>
    <t>YADIRA ALEJANDRA GUZMAN CASAS</t>
  </si>
  <si>
    <t>MARTIN ALEJANDRO GUZMAN DURON</t>
  </si>
  <si>
    <t>CARLOS ERNESTO GUZMAN DURON</t>
  </si>
  <si>
    <t>ILLIANA MARIA MARCOFF BRAVO</t>
  </si>
  <si>
    <t>CINTHYA YANETH CASAS CORRALES</t>
  </si>
  <si>
    <t xml:space="preserve">ANDREA ORTIZ ALVAREZ </t>
  </si>
  <si>
    <t>OSCAR ALEJANDRO ORTIZ CAMPOS</t>
  </si>
  <si>
    <t>DIANA ALEXIS ALVAREZ BELTRAN</t>
  </si>
  <si>
    <t>OSCAR ROBERTO BELTRAN GASTELUM</t>
  </si>
  <si>
    <t>CARMEN ROSARIO BELTRAN RENDON</t>
  </si>
  <si>
    <t>EYDAN JAFET DELGADO ENCINAS</t>
  </si>
  <si>
    <t>ROCIO ESMERALDA ENCINAS BRACAMONTES</t>
  </si>
  <si>
    <t xml:space="preserve">MARZO </t>
  </si>
  <si>
    <t>ANGEL JAFET DELGADO CHAVEZ</t>
  </si>
  <si>
    <t>LUISA DAVINA RIOS ZAVALA</t>
  </si>
  <si>
    <t>CRHISTIAN BECKER DELGADO CHAVEZ</t>
  </si>
  <si>
    <t>SANTIAGO NAVA ESQUER</t>
  </si>
  <si>
    <t>FERNANDO NAVA GUEVARA</t>
  </si>
  <si>
    <t>MARISOL ESQUER CASTRO</t>
  </si>
  <si>
    <t>LUIS ARMANDO VALENCIA FIGUEROA</t>
  </si>
  <si>
    <t>ALONDRA ESQUER GANDARILLA</t>
  </si>
  <si>
    <t>EMILIO LOPEZ ALMADA</t>
  </si>
  <si>
    <t>EDGARDO LOPEZ ANGUIS</t>
  </si>
  <si>
    <t>ESTEFANIA GUADALUPE ALMADA FUENTES</t>
  </si>
  <si>
    <t>ALAN FRANCISCO GUTIERREZ CAMPOY</t>
  </si>
  <si>
    <t>ESTHELA MARIA AVILA ANGUIS</t>
  </si>
  <si>
    <t>AMELIA LUCIA ROMERO PEREZ</t>
  </si>
  <si>
    <t>JORGE ANDRES ROMERO ANDRADE</t>
  </si>
  <si>
    <t>MARTHA SELENE PEREZ OROZCO</t>
  </si>
  <si>
    <t>JAIME ALBERTO RENTERIA BECERRA</t>
  </si>
  <si>
    <t>PAULA CRISTINA ROMERO ANDRADE</t>
  </si>
  <si>
    <t>REGINA GUADALUPE ARAIZA REYNA</t>
  </si>
  <si>
    <t>NEREYDA ALEXANDRA REYNA HERNANDEZ</t>
  </si>
  <si>
    <t>JESUS ARAIZA MARQUEZ</t>
  </si>
  <si>
    <t>ERICKA VALENZUELA BELTRAN</t>
  </si>
  <si>
    <t>JESUS MIGUEL ARAIZA CARRILLO</t>
  </si>
  <si>
    <t>RENATA SARAHI ARAIZA REYNA</t>
  </si>
  <si>
    <t xml:space="preserve">ENRIQUE GUZMAN </t>
  </si>
  <si>
    <t>VERONICA HERNANDEZ LOPEZ</t>
  </si>
  <si>
    <t>JESUS YOBANI SEGURA GARCIA</t>
  </si>
  <si>
    <t>ADILENE FRANCISCA CAMARGO CASTELO</t>
  </si>
  <si>
    <t>DANIEL EDUARDO MEDRANO GARCIA</t>
  </si>
  <si>
    <t>NATALIA ELIZABETH MEDINA JIMENEZ</t>
  </si>
  <si>
    <t xml:space="preserve">FILIBERTO GERARDO Y CLAUDIA VIRIDIANA </t>
  </si>
  <si>
    <t>ERIKA GABRIELA BETANCOURT HERNANDEZ</t>
  </si>
  <si>
    <t>RAMON HUARAQUI ROMERO</t>
  </si>
  <si>
    <t>ROSA ISELA GUTIERREZ ARCE</t>
  </si>
  <si>
    <t>RAFAEL MEDINA CARDENAS</t>
  </si>
  <si>
    <t>GIAN ALBERTO SEGURA CAMARGO</t>
  </si>
  <si>
    <t>REBECCA MURILLO ROBLES</t>
  </si>
  <si>
    <t>CRISTINA GUADALUPE ROBLES MOROYOQUI</t>
  </si>
  <si>
    <t>ADOLFO ALBERTO MURILLO VELARDE</t>
  </si>
  <si>
    <t>PAMELA ALEJANDRA VEGA IRRA</t>
  </si>
  <si>
    <t>JOHNATAN MURILLO VELARDE</t>
  </si>
  <si>
    <t>MATEO FERNANDO ORTEZ RODRIGUEZ</t>
  </si>
  <si>
    <t>GUAYMAS SONORA</t>
  </si>
  <si>
    <t>MANUEL RODRIGUEZ LOPEZ</t>
  </si>
  <si>
    <t>MARIA FERNANDA ORTEZ RODRIGUEZ</t>
  </si>
  <si>
    <t xml:space="preserve">EDUARDO GONZALEZ ORTEZ </t>
  </si>
  <si>
    <t>MARCIA PATRICIA CARRION ZEPEDA</t>
  </si>
  <si>
    <t>CARLOS ALBERTO CARRION TRACONIS</t>
  </si>
  <si>
    <t>MARCIA IVONE ZEPEDA PERALTA</t>
  </si>
  <si>
    <t xml:space="preserve">JESUS GUILLERMO CORONADO MUÑOZ </t>
  </si>
  <si>
    <t>MARCIA ROSELA MUNGUIA HERRERA</t>
  </si>
  <si>
    <t>VALERIA ELVIRA GARCIA NORIEGA</t>
  </si>
  <si>
    <t>JAVIER GARCIA CASTRO</t>
  </si>
  <si>
    <t>CLAUDIA NORIEGA BARRERA</t>
  </si>
  <si>
    <t>JOEL SANTIAGO RIVERA NEVAREZ</t>
  </si>
  <si>
    <t>YESSENIA PATRICIA NORIEGA BARRERA</t>
  </si>
  <si>
    <t xml:space="preserve"> Y </t>
  </si>
  <si>
    <t>DENISSE SOFIA GARCIA LOPEZ</t>
  </si>
  <si>
    <t>ALVARO OSWALDO GARCIA ARIAS</t>
  </si>
  <si>
    <t>JUAN SALVADOR MARTINEZ TALAMANTES</t>
  </si>
  <si>
    <t>CYNTHIA ELIZABETH VERJAN ESQUER</t>
  </si>
  <si>
    <t>ROQUE ISMAEL MOLINA ORTIZ</t>
  </si>
  <si>
    <t>AURELIANO MOLINA DANIEL</t>
  </si>
  <si>
    <t>ELIZABETH ORTIZ VALENCIA</t>
  </si>
  <si>
    <t>JOSE LUIS LIMON BASACA</t>
  </si>
  <si>
    <t>ALMA LORENA LOPEZ PEREZ</t>
  </si>
  <si>
    <t>GABRIEL ALFONSO PATRON GALVEZ</t>
  </si>
  <si>
    <t>MIGUEL ALFONSO PATRON AVILES</t>
  </si>
  <si>
    <t>KAREN VIANNEY GALVEZ GARCIA</t>
  </si>
  <si>
    <t>LUIS ARMANDO CONTRERAS AGUAYO</t>
  </si>
  <si>
    <t xml:space="preserve">ANA GABRIELA FONTES GARCIA </t>
  </si>
  <si>
    <t>MYA ISABELA PATRON GALVEZ</t>
  </si>
  <si>
    <t>EDYLET NATALIA BARRERAS ZARATE</t>
  </si>
  <si>
    <t>EDUARDO BARRERAS MORALES</t>
  </si>
  <si>
    <t>SONIA LETICIA ZARATE QUIJADA</t>
  </si>
  <si>
    <t xml:space="preserve">VERONICA MARIA ZARATE QUIJADA </t>
  </si>
  <si>
    <t xml:space="preserve">PBRO. GERARDO CAMACHO PONCE </t>
  </si>
  <si>
    <t>CAMILA MEDRANO DUSTEN</t>
  </si>
  <si>
    <t>ALEJANDRO MEDRANO ROJO</t>
  </si>
  <si>
    <t>DENISSE IZVETH DUSTEN GURROLA</t>
  </si>
  <si>
    <t>ALEJANDRA MARTINEZ NUÑEZ</t>
  </si>
  <si>
    <t>MARIA LUISA DUARTE MIRANDA</t>
  </si>
  <si>
    <t>DILBERT OJEDA IBARRA</t>
  </si>
  <si>
    <t>JOSE LUIS OJEDA ALCANTAR</t>
  </si>
  <si>
    <t>JAZMIN MONICA IBARRA DELGADO</t>
  </si>
  <si>
    <t xml:space="preserve">ESTEBAN CHAZARO RAMIREZ Y ANA VICTORIA IBARRA DELGADO </t>
  </si>
  <si>
    <t>IKER SANTIAGO GARCIA OROZCO</t>
  </si>
  <si>
    <t>RODRIGO GARCIA CONTRERAS</t>
  </si>
  <si>
    <t>PERLA AZUCENA OROZCO LIMON</t>
  </si>
  <si>
    <t>MIGUEL IVAN OROZCO LIMON</t>
  </si>
  <si>
    <t>MANUEL DE JESUS DUSTEN LOPEZ Y JESUS DOLORES GURROLA PERAZA</t>
  </si>
  <si>
    <t>ANA ELISA FERNANDEZ DAVILA</t>
  </si>
  <si>
    <t>HECTOR EFRAIN FERNANDEZ LOZANO</t>
  </si>
  <si>
    <t>ADRIANA CECILIA DAVILA GUTIERREZ</t>
  </si>
  <si>
    <t>CRISTINA FERNANDEZ LOZANO</t>
  </si>
  <si>
    <t xml:space="preserve">MARIA BARBARA FERNANDEZ DAVILA </t>
  </si>
  <si>
    <t>MARIA ALEJANDRA ARAIZA ARMENTA</t>
  </si>
  <si>
    <t>LUIS ALFONSO ACOSTA NUÑEZ</t>
  </si>
  <si>
    <t>DANIEL ALFONSO ACOSTA ANTUNEZ</t>
  </si>
  <si>
    <t>DANIELA ACOSTA NUÑEZ</t>
  </si>
  <si>
    <t>ESTRELLA NAVARRO CAMACHO</t>
  </si>
  <si>
    <t>PAUL ARTURO NAVARRO RAZCON</t>
  </si>
  <si>
    <t>ANA JAZLIM CAMACHO ESTRELLA</t>
  </si>
  <si>
    <t>LORENIA NAVARRO MENDOZA</t>
  </si>
  <si>
    <t>DAVID MARTIN VAZQUEZ LOPEZ</t>
  </si>
  <si>
    <t>MARTIN GUASTAVO VAZQUEZ PALMA</t>
  </si>
  <si>
    <t>CLAUDIA FRANCISCA LOPEZ LEAL</t>
  </si>
  <si>
    <t>ABEL CAIN CARRANZA JIMENEZ Y ROSA MARIA RUIZ TRUJILLO</t>
  </si>
  <si>
    <t>SILVANA ALVARADO GOMEZ</t>
  </si>
  <si>
    <t>EDUARDO ALVARADO PARTIDA</t>
  </si>
  <si>
    <t>MARCELA GOMEZ RAMOS</t>
  </si>
  <si>
    <t>XIMENA ALVARADO GOMEZ</t>
  </si>
  <si>
    <t>LEONARDO ORTEGA LERMA</t>
  </si>
  <si>
    <t>MARJORIE LERMA REYES</t>
  </si>
  <si>
    <t>FATIMA LYNETH BENITEZ GRIJALVA</t>
  </si>
  <si>
    <t>OMAR ARNOLDO BENITEZ BURBOA</t>
  </si>
  <si>
    <t>MANUEL RICARDO SOMOZA VALENCIA</t>
  </si>
  <si>
    <t>MANUEL HUMBERTO SOMOZA CORONADO</t>
  </si>
  <si>
    <t>KAROLINA VALENCIA BERNAL</t>
  </si>
  <si>
    <t>MARIAN REGINA VILLEGAS AVILES</t>
  </si>
  <si>
    <t>CARLOS OLIVER VILLEGAS FUENTES</t>
  </si>
  <si>
    <t>CARMEN EDITH AVILES VALDEZ</t>
  </si>
  <si>
    <t>XOCHITL EDITH LEYVA VILLEGAS</t>
  </si>
  <si>
    <t>ELIZA DARIEL CAMPAÑA GRANILLO</t>
  </si>
  <si>
    <t>DANIEL IVAN CAMPAÑA MANJARREZ</t>
  </si>
  <si>
    <t>EDNA GUILLERMINA GRANILLO RODRIGUEZ</t>
  </si>
  <si>
    <t>CARMEN MARIA MOLINA DEL VALLE</t>
  </si>
  <si>
    <t>MARIANNA AELYN GARCIA MENDIVIL</t>
  </si>
  <si>
    <t>EDUARDO GARCIA MONTIJO</t>
  </si>
  <si>
    <t>ESTEPHANIE MENDIVIL BARNETT</t>
  </si>
  <si>
    <t>DIANA CAROLINA GALLEGO GONZALEZ</t>
  </si>
  <si>
    <t>ARELY GUADALUPE MENDOZA DZUL</t>
  </si>
  <si>
    <t>DANIEL MENDOZA CAMACHO</t>
  </si>
  <si>
    <t>ARACELY BRENDA MARIA DZUL CAMPOS</t>
  </si>
  <si>
    <t>ELISA LIZETH SALAZAR RICARTE</t>
  </si>
  <si>
    <t>CHRISTIAN TORRECILLAS GARZA</t>
  </si>
  <si>
    <t>CHRISTIAN TORRECILLAS ACEDO</t>
  </si>
  <si>
    <t>BRISENA ACEDO LOPEZ</t>
  </si>
  <si>
    <t>ILDEGARDO ACEDO LOPEZ</t>
  </si>
  <si>
    <t>MARIA FERNANDA BUSTAMANTE GRIJALVA</t>
  </si>
  <si>
    <t>JUAN DOLORES BUSTAMANTE MONTAÑO</t>
  </si>
  <si>
    <t>ROSA GUADALUPE GALLEGO BUSTAMANTE</t>
  </si>
  <si>
    <t>MARIA FERNANDA GRIJALVA GALLEGO</t>
  </si>
  <si>
    <t>OMAR BENITEZ GRIJALVA</t>
  </si>
  <si>
    <t>NANCY LILIANA GRIJALVA GALLEGO</t>
  </si>
  <si>
    <t>PAZ GRIJALVA RUIZ</t>
  </si>
  <si>
    <t>PABLO ESCUDERO RODRIGUEZ</t>
  </si>
  <si>
    <t xml:space="preserve">SERGIO ANTONIO ESCUDERO LUNA </t>
  </si>
  <si>
    <t>MONICA ARMIDA VELASCO MOLINA</t>
  </si>
  <si>
    <t>RICARDO VALENCIA PANDULA Y CLEMENTINA BERNAL MANZO</t>
  </si>
  <si>
    <t>EUGENIA RODRIGUEZ VELASCO</t>
  </si>
  <si>
    <t xml:space="preserve">MARISSA RASCON CARVAJAL </t>
  </si>
  <si>
    <t>JESUS TADEO RASCON ANDRADE</t>
  </si>
  <si>
    <t>LUIS ALAN SANTINI COHIRA Y RITA MARIA NORIEGA NOYOLA</t>
  </si>
  <si>
    <t>ALBERTO TERAN ROMERO</t>
  </si>
  <si>
    <t>ANA ISABEL CARvAJAL ACUÑA</t>
  </si>
  <si>
    <t>ERIK SANTIAGO AYALA ORTA</t>
  </si>
  <si>
    <t>JESUS IVAN AYALA GOMEZ</t>
  </si>
  <si>
    <t>CINTIA SELENE ORTA ARAIZA</t>
  </si>
  <si>
    <t>JESUS ALAN ORTA ARAIZA</t>
  </si>
  <si>
    <t>MARIANA GUADALUPE BARAJAS CASTAÑEDA</t>
  </si>
  <si>
    <t xml:space="preserve">MAYO </t>
  </si>
  <si>
    <t>MARCO ANTONIO BARAJAS CORONADO</t>
  </si>
  <si>
    <t>MICHELLE ESMERALDA RODRIGUEZ SALAZAR</t>
  </si>
  <si>
    <t>FRANCISCA EDITH CASTAÑEDA SALAZAR</t>
  </si>
  <si>
    <t>DANIEL ALEXANDER BORBON GARDUÑO</t>
  </si>
  <si>
    <t>FREDY BORBON ORTEGA</t>
  </si>
  <si>
    <t xml:space="preserve">MARIA DOLORES GARDUÑO REYES </t>
  </si>
  <si>
    <t xml:space="preserve">RAMON EMILIO NIEBLAS NORIEGA Y JESUS ALONDRA BORBON ENCINAS </t>
  </si>
  <si>
    <t>DEVANY BEATRIZ BRAVO PALAFOX</t>
  </si>
  <si>
    <t>GILDARDO RUBEN BRAVO BADILLA</t>
  </si>
  <si>
    <t>EDUWIGES PALAFOX AGUIRRE</t>
  </si>
  <si>
    <t>JUAN RAMOS LUNA</t>
  </si>
  <si>
    <t>DAMIAN ALEXIS BUSTAMANTE RAMOS</t>
  </si>
  <si>
    <t>CLAUDIA ADILENE RAMOS LUNA</t>
  </si>
  <si>
    <t>JESUS GUADALUPE BUSTAMANTE DORADO</t>
  </si>
  <si>
    <t>MARIA INES PALAFOX AGUIRRE</t>
  </si>
  <si>
    <t>SARAHI DEL CARMEN LOPEZ MORA</t>
  </si>
  <si>
    <t>JESUS ALBERTO LOPEZ GARCIA</t>
  </si>
  <si>
    <t>MARIA DEL CARMEN MORA VILLALOBOS</t>
  </si>
  <si>
    <t>MARISOL GUADALUPE MORA VILLALOBOS</t>
  </si>
  <si>
    <t>SEBASTIAN ABELARDO LUNA MENDEZ</t>
  </si>
  <si>
    <t xml:space="preserve">MARIO ALBERTO LUNA RODRIGUEZ </t>
  </si>
  <si>
    <t>SANDRA MARIA MENDEZ VAZQUEZ</t>
  </si>
  <si>
    <t>JUAN ANGEL DOMINGUEZ MENDEZ</t>
  </si>
  <si>
    <t xml:space="preserve">XIMENA ESTEFANIA MADA GARDUÑO </t>
  </si>
  <si>
    <t>JOSE FRANCISCO MADA RAMIREZ</t>
  </si>
  <si>
    <t>MARIBEL GARDUÑO REYES</t>
  </si>
  <si>
    <t>YAILIN GARDUÑO REYES</t>
  </si>
  <si>
    <t>DARISSA BANELY MATA ORDUÑO</t>
  </si>
  <si>
    <t>LUIS MANUEL MATA HERNANDEZ</t>
  </si>
  <si>
    <t>ROSA ALICIA GUADALUPE ORDUÑO BANDA</t>
  </si>
  <si>
    <t>BRAYAN ELEAZAR ORDUÑO BANDA Y MARIA INES PALAFOX AGUIRRE</t>
  </si>
  <si>
    <t>CARLOS JAVIER MOLINA SOTO</t>
  </si>
  <si>
    <t xml:space="preserve">CLAUDIA JUDITH SOTO PASILLAS </t>
  </si>
  <si>
    <t>CARLOS JAVIER MOLINA HERMOSILLO</t>
  </si>
  <si>
    <t xml:space="preserve">YADIRA DEL REFUGIO HERMOSILLO REY </t>
  </si>
  <si>
    <t>SOFIA JAQUELINE MORALES PERALTA</t>
  </si>
  <si>
    <t>JAZIEL CHAYAN MORALES GUZMAN</t>
  </si>
  <si>
    <t>TANIA JAQUELINE PERALTA FELIX</t>
  </si>
  <si>
    <t xml:space="preserve">FERNANDA ALEJANDRA RODRIGUEZ PERALTA </t>
  </si>
  <si>
    <t>ANGEL ISRAEL PEREZ ULIBARRIA</t>
  </si>
  <si>
    <t xml:space="preserve">ISRAEL PEREZ ARAGON </t>
  </si>
  <si>
    <t>MARTINA ULIBARRIA SARABIA</t>
  </si>
  <si>
    <t>CARLOS  REINALDO  ALVARES GIRON Y EUFROCINA CABRERA PEREZ</t>
  </si>
  <si>
    <t>LLUVIA RUELAS MEZA</t>
  </si>
  <si>
    <t>LLUVIA GUADALUPE RUELAS MEZA</t>
  </si>
  <si>
    <t>MARIA JOSE AGUIRRE LOPEZ</t>
  </si>
  <si>
    <t>VERONICA BEATRIZ AGUIRRE LOPEZ</t>
  </si>
  <si>
    <t>SERGIO TADEO BADACHI MALDONADO</t>
  </si>
  <si>
    <t>JOSE ABRAHAM BADACHI RODRIGUEZ</t>
  </si>
  <si>
    <t>KARINA HODERAY MALDONADO CAREAGA</t>
  </si>
  <si>
    <r>
      <rPr>
        <sz val="9"/>
        <rFont val="Arial"/>
        <family val="2"/>
      </rPr>
      <t>GUADALUPE LORENZO GAMEZ RIVAS Y MARIA AUXILIADORA BADACHI RODRIGUEZ</t>
    </r>
    <r>
      <rPr>
        <sz val="10"/>
        <rFont val="Arial"/>
        <family val="2"/>
      </rPr>
      <t xml:space="preserve"> </t>
    </r>
  </si>
  <si>
    <t>MAYRIM CAMILA BARAJAS CASTAÑEDA</t>
  </si>
  <si>
    <t>GUADALUPE ANAHI RODRIGUEZ SALAZAR</t>
  </si>
  <si>
    <t>JAZMIN ALEJANDRA CORRALES MENDOZA</t>
  </si>
  <si>
    <t>REY DAVID CORRALES RODRIGUEZ</t>
  </si>
  <si>
    <t>REYNA ALEJANDRA MENDOZA VALENZUELA</t>
  </si>
  <si>
    <t>ORALIA GUILLERMINA MENDOZA VALENZUELA</t>
  </si>
  <si>
    <t>JULIETH GUADALUPE MORENO SILVA</t>
  </si>
  <si>
    <t>MARCOS ORLANDO MORENO ALBARRAN</t>
  </si>
  <si>
    <t>FERNANDA JAQUELINE SILVA SESMA</t>
  </si>
  <si>
    <t xml:space="preserve">MARIA DEL SOL NAVA IBARRA </t>
  </si>
  <si>
    <t>JESUS FRANCISCO NAVA POMPA</t>
  </si>
  <si>
    <t xml:space="preserve">REYNA JUDITH IBARRA MEDINA </t>
  </si>
  <si>
    <t>DORIAN ALBERTO OSUNA RODRIGUEZ</t>
  </si>
  <si>
    <t>ALBERTO OSUNA MURILLO</t>
  </si>
  <si>
    <t>MARIA LIZBETH RODRIGUEZ MONGE</t>
  </si>
  <si>
    <t>FRANCISCA MONGE TARAZON</t>
  </si>
  <si>
    <t>MARIO ARMANDO OZUNA MENDIVIL</t>
  </si>
  <si>
    <t>MIRIAM LIZBETH BORJA RESENDEZ</t>
  </si>
  <si>
    <t>IRMA ALICIA OZUNA MENDIVIL</t>
  </si>
  <si>
    <t xml:space="preserve">BRITHANY GUADALUPE OZUNA BORJA </t>
  </si>
  <si>
    <t xml:space="preserve">MILEIDY DANIELA PEREZ ULIBARRIA </t>
  </si>
  <si>
    <t>ULISES PEREZ ARAGON</t>
  </si>
  <si>
    <t xml:space="preserve">BRAYAN JESUS ARMENTA TORRES </t>
  </si>
  <si>
    <t>SANTIAGO ARMENTA IBANEZ</t>
  </si>
  <si>
    <t xml:space="preserve">AMANDA TORRES BARRERAS </t>
  </si>
  <si>
    <t>GISELA GUADALUPE ARMENTA TORRES</t>
  </si>
  <si>
    <t xml:space="preserve">MAIRIM GUADALUPE CASTRO CELAYA </t>
  </si>
  <si>
    <t>OSCAR E. CASTRO SANTANEÑO</t>
  </si>
  <si>
    <t>MIRIAM GUADALUPE CELAYA ESTRELLA</t>
  </si>
  <si>
    <t>MIGUEL CELAYA ESTRELLA Y RAMONA GUADALUPE CASTRO SANTANEÑO</t>
  </si>
  <si>
    <t>MILIAN ALEJANDRO CARRERAS NAVARRO Y MARIA JOSE VEGA HERMOSILLO</t>
  </si>
  <si>
    <t>ALEX SANTIAGO PAYAN VILLEGAS</t>
  </si>
  <si>
    <t>JESUS RUFINO PAYAN BANDA</t>
  </si>
  <si>
    <t xml:space="preserve">ELIZABETH VILLEGAS FLORES </t>
  </si>
  <si>
    <t>JORGE ALBERTO LEON HERMOSILLO Y SILVIA YADIRA RAMIREZ FLORES</t>
  </si>
  <si>
    <t>CAMILA ESMERALDA VALENZUELA GRIJALVA</t>
  </si>
  <si>
    <t>BRIANDA YADIRA VALENZUELA GRIJALVA</t>
  </si>
  <si>
    <t>ERIKA LIZBETH VALENZUELA GRIJALVA</t>
  </si>
  <si>
    <t>ROSARIO GUADALUPE HIGUERA ACUÑA</t>
  </si>
  <si>
    <t>ADAN MANUEL HIGUERA MONTOYA</t>
  </si>
  <si>
    <t>MARIA TERESA ACUÑA SOLIS</t>
  </si>
  <si>
    <t>DANA PAOLA HIGUERA ACUÑA</t>
  </si>
  <si>
    <t>MARIA ISELA DE LA CRUZ</t>
  </si>
  <si>
    <t>MARIA DELIA IBARRA MEDINA</t>
  </si>
  <si>
    <t>ASHLEY DAYANA MOLINA SOTO</t>
  </si>
  <si>
    <t>ANGELIQUE PAOLET AGUILAR ORTIZ</t>
  </si>
  <si>
    <t>GUSTAVO AGUILAR SANTACRUZ</t>
  </si>
  <si>
    <t xml:space="preserve">GLADYS JANETH ORTIZ LEON </t>
  </si>
  <si>
    <t>JULIO CESAR ARRIQUIVEZ ESQUER</t>
  </si>
  <si>
    <t>JOANA GUADALUPE ORTIZ LEON</t>
  </si>
  <si>
    <t>ANA CECILIA ACOSTA GOMEZ</t>
  </si>
  <si>
    <t xml:space="preserve">JUAN IGNACIO ACOSTA DEL ANGEL </t>
  </si>
  <si>
    <t>CARMEN CECILIA GOMEZ FELIX</t>
  </si>
  <si>
    <t>ANGEL ARAAM PALAFOX HERNANDEZ</t>
  </si>
  <si>
    <t>ARAAM JESEE PALAFOX COLORES</t>
  </si>
  <si>
    <t>REYNA MARIA HERNANDEZ VALLES</t>
  </si>
  <si>
    <t>ALMA ELIZABETH HERNANDEZ VALLES</t>
  </si>
  <si>
    <t>ANTONIO CONTRERAS HUITRON</t>
  </si>
  <si>
    <t>ANTONIO CONTRERAS CAÑEZ</t>
  </si>
  <si>
    <t>ALEJANDRA HUITRON ROBLES</t>
  </si>
  <si>
    <t>YOLANDA IRENE CONTRERAS CAÑEZ</t>
  </si>
  <si>
    <t>CARLOS ALBERTO MENDOZA ZEPEDA</t>
  </si>
  <si>
    <t>SERGIO ORLANDO MENDOZA</t>
  </si>
  <si>
    <t>REYNA GUADALUPE ZEPEDA TRUJILLO</t>
  </si>
  <si>
    <t>CESAR JAVIER MENDOZA</t>
  </si>
  <si>
    <t xml:space="preserve">CARLOS DANIEL CARRION ZEPEDA </t>
  </si>
  <si>
    <t>DANIELA GUADALUPE RODRIGUEZ MORALES</t>
  </si>
  <si>
    <t>DANIEL ALONSO RODRIGUEZ COTA</t>
  </si>
  <si>
    <t>ROSARIO GUADALUPE MORALES ANGUAMEA</t>
  </si>
  <si>
    <t>CARMEN VIVIANA RODRIGUEZ COTA</t>
  </si>
  <si>
    <t>DIEGO ARVIZU GIMENO</t>
  </si>
  <si>
    <t xml:space="preserve">RICARDO ARVIZU CASTILLO </t>
  </si>
  <si>
    <t>CAROLINA DEL CARMEN GIMENO NAJERA</t>
  </si>
  <si>
    <t>LORENA NAVARRO CORONADO</t>
  </si>
  <si>
    <t>EFRAIN IVAN ESTRADA MARTINEZ</t>
  </si>
  <si>
    <t>CYNTHIA CAROLINA MARTINEZ SANTOYO</t>
  </si>
  <si>
    <t>EFRAIN IVAN ESTRADA SAENZ</t>
  </si>
  <si>
    <t>VICTOR MIGUEL SANTOYO LARA</t>
  </si>
  <si>
    <t>EMMA OZUA AMAYA</t>
  </si>
  <si>
    <t xml:space="preserve">EDNA GUADALUPE AMAYA FIGUEROA </t>
  </si>
  <si>
    <t>ERICK DE JESUS ARMENTA SALAS</t>
  </si>
  <si>
    <t>ERICK GUADALUPE ARMENTA CORRAL</t>
  </si>
  <si>
    <t>CRISTEL KARINA SALAS ALVAREZ</t>
  </si>
  <si>
    <t>JESUS ENRIQUE OCHOA AVILA Y CAROLINA ALCANTAR ROJAS</t>
  </si>
  <si>
    <t>ALAN LOPEZ AGUIRRE</t>
  </si>
  <si>
    <t>LILLIAN AMPARO ARAUJO DORAME</t>
  </si>
  <si>
    <t>BERENICE JANETT ALATORRE GASTELUM</t>
  </si>
  <si>
    <t>FRANCISCO MARTIN HERNANDEZ NEVAREZ</t>
  </si>
  <si>
    <t>ERIKA DENISSE NEVAREZ LLAMAS</t>
  </si>
  <si>
    <t>FRANCISCO MARTIN HERNANDEZ LOPEZ</t>
  </si>
  <si>
    <t>IVAN SANTIAGO RUIZ ISLAS</t>
  </si>
  <si>
    <t>IGNACIO RUIZ LEON</t>
  </si>
  <si>
    <t>MIRIAM ESMERALDA ISLAS HERRERA</t>
  </si>
  <si>
    <t>IVANNA CAMILA VELAZQUEZ CORTINA</t>
  </si>
  <si>
    <t>PASCUAL IVAN VELAZQUEZ RANGEL</t>
  </si>
  <si>
    <t>DIANA MARITZA CORTINA IRIBE</t>
  </si>
  <si>
    <t>SERGIO ALAN GUZMAN DURAN E IRMA GUDALUPE MONTIEL RANGEL</t>
  </si>
  <si>
    <t>JOSE JUAN ORTIZ CASTILLO</t>
  </si>
  <si>
    <t>JOSE JUAN ORTIZ BARRIOS</t>
  </si>
  <si>
    <t>CYNTHIA CASTILLO GUTIERREZ</t>
  </si>
  <si>
    <t>CAROLINA CASTILLO GUTIERREZ</t>
  </si>
  <si>
    <t>JUAN PABLO COSME SOBARZO</t>
  </si>
  <si>
    <t>CARLOS RICARDO COSME LOPEZ</t>
  </si>
  <si>
    <t>MARIA LUIS SOBARZO OLIVARES</t>
  </si>
  <si>
    <t>KARLA RENEE RODRIGUEZ CAMPOY</t>
  </si>
  <si>
    <t>LUIS CARLOS RODRIGUEZ ESTRADA</t>
  </si>
  <si>
    <t>VICTOR HUGO RODRIGUEZ ESTRADA Y VANESA GUADALUPE YING QUIJANO</t>
  </si>
  <si>
    <t>LINDA REGINA CRUZ URIAS</t>
  </si>
  <si>
    <t>MARIO ALBERTO CRUZ CASTILLO</t>
  </si>
  <si>
    <t>JANETH MARIA URIAS ARMENTA</t>
  </si>
  <si>
    <t>KARINA SUSANA URIAS ARMENTA Y MARIA NORA ALICIA CASTILLO ROBLES</t>
  </si>
  <si>
    <t xml:space="preserve">MANUEL TADEO MORALES GONZALEZ </t>
  </si>
  <si>
    <t xml:space="preserve">MIRNA LORENA GONZALEZ VALENZUELA </t>
  </si>
  <si>
    <t>HIRAM JOSSUE MORALES CHAVEZ Y FERNANDA MERCEDES VALLES IBARRA</t>
  </si>
  <si>
    <t>MARTHA LUCIA COSME SOBARZO</t>
  </si>
  <si>
    <t>CRISTINA SOBARZO OLIVARES</t>
  </si>
  <si>
    <t>MELISSA LOPEZ ROMERO</t>
  </si>
  <si>
    <t xml:space="preserve">JOSE ANGEL LOPEZ VELAZCO </t>
  </si>
  <si>
    <t>ELIZABETH ROMERO LARES</t>
  </si>
  <si>
    <t>MARTHA IMELDA MORALES BABUCA</t>
  </si>
  <si>
    <t xml:space="preserve">NICOLAS GABRIEL ARREOLA MARTINEZ </t>
  </si>
  <si>
    <t xml:space="preserve">JESUS FELIPE ARREOLA IBARRA </t>
  </si>
  <si>
    <t>DULCE GABRIELA MARTINEZ SANTOYO</t>
  </si>
  <si>
    <t xml:space="preserve">ARNOLDO NICOLAS MARTINEZ PARRA </t>
  </si>
  <si>
    <t>REGINA MARTINEZ NAVARRO</t>
  </si>
  <si>
    <t xml:space="preserve">JERONIMO MARTINEZ GARCIA </t>
  </si>
  <si>
    <t>ANA LILIA ISLAS HERRERA</t>
  </si>
  <si>
    <t>REGINA MORALES ZAZUETA</t>
  </si>
  <si>
    <t>LUIS MANUEL MORALES GARCIA</t>
  </si>
  <si>
    <t>JANETH LILIAN ZAZUETA RODRIGUEZ</t>
  </si>
  <si>
    <t xml:space="preserve">JANETH LILIAN ZAZUETA RODRIGUEZ </t>
  </si>
  <si>
    <t xml:space="preserve">RENNE VALERIA ABRIL GAMEZ </t>
  </si>
  <si>
    <t xml:space="preserve">BERNARDINO ABRIL LOPEZ </t>
  </si>
  <si>
    <t xml:space="preserve">ELENA GUADALUPE GAMEZ VARELA </t>
  </si>
  <si>
    <t>MARIA DE JESUS RAMIREZ LOPEZ</t>
  </si>
  <si>
    <t xml:space="preserve">SONIA ESTEFANIA MADRID AVITIA </t>
  </si>
  <si>
    <t>ERNESTO MADRID SALAZAR</t>
  </si>
  <si>
    <t>ROSA MARIA AVITIA NUÑEZ</t>
  </si>
  <si>
    <t>JOSE LUIS MADRID SALAZAR Y CYNTHIA GUADALUPE HURTADO HERRERA</t>
  </si>
  <si>
    <t>SYLVIA MARIA PEREZ PALAFOX</t>
  </si>
  <si>
    <t>MIGUEL PEREZ RENDON</t>
  </si>
  <si>
    <t>SYLVIA GUADALUPE PALAFOX ARVALLO</t>
  </si>
  <si>
    <t>MARTHA ELENA PALAFOX ARVAYO</t>
  </si>
  <si>
    <t>MA. CARMEN FELIX PABLO</t>
  </si>
  <si>
    <t>RAMON FRANCISCO OZUA RIVERA</t>
  </si>
  <si>
    <t>CARLOS DANIEL FELIX MORENO</t>
  </si>
  <si>
    <t xml:space="preserve">KLAUDIA IVETTE CAMPOY SOTOMAYOR </t>
  </si>
  <si>
    <t xml:space="preserve">LUIS FERNANDO ESCOBAR VERDUGO </t>
  </si>
  <si>
    <t xml:space="preserve">NAOMI IVETH FLORES BUSTAMANTE </t>
  </si>
  <si>
    <t>REGINA IVETH FLORES BUSTAMANTE</t>
  </si>
  <si>
    <t>SOFIA EMILEM GRIJALVA YBARRA</t>
  </si>
  <si>
    <t>ANNA VICTORIA MATUZ SALAZAR</t>
  </si>
  <si>
    <t>ANA PAULA MONTIJO QUIJADA</t>
  </si>
  <si>
    <t xml:space="preserve">MATEO FERNANDO ORTEZ RODRIGUEZ </t>
  </si>
  <si>
    <t>ESTEFANIA PAREDES LOPEZ</t>
  </si>
  <si>
    <t xml:space="preserve">ALEXANDRA ROSAS SOTO </t>
  </si>
  <si>
    <t>ANA VICTORIA VALENCIA MARTINEZ</t>
  </si>
  <si>
    <t xml:space="preserve">SANTIAGO ANTONIO RODRIGUEZ MEDRANO </t>
  </si>
  <si>
    <t xml:space="preserve">LUIS ENRIQUE ESCOBAR MOLINA </t>
  </si>
  <si>
    <t>ANA MARIA VERDUGO MARTINEZ</t>
  </si>
  <si>
    <t>FELIPE DE JESUS FLORES ALCANTAR</t>
  </si>
  <si>
    <t>ROCIO IVETH BUSTAMANTE AGUIRRE</t>
  </si>
  <si>
    <t>CESAR HUMBERTO VERDUGO MARTINEZ Y GUILLERMO VERDUGO MARTINEZ</t>
  </si>
  <si>
    <t>JIMENA ELIZABETH FLORES ALCANTAR</t>
  </si>
  <si>
    <t>ADRIANA SANCHEZ MULLER</t>
  </si>
  <si>
    <t>ERICK JAZZIEL GRIJALVA GUZMAN</t>
  </si>
  <si>
    <t>FRANCISCA DELFINA YBARRA CARREON</t>
  </si>
  <si>
    <t>ROGELIO VILLA GARCIA Y LOREVA DANIELA GRIJALVA GUZMAN</t>
  </si>
  <si>
    <t>CARLOS FRANCISCO MONTIJO RENDON</t>
  </si>
  <si>
    <t>DENIA BETHSABE QUIJADA MADA</t>
  </si>
  <si>
    <t>DOLORES CAROLINA MONTIJO RENDON</t>
  </si>
  <si>
    <t>RAFAEL TADEO MATUZ ESPINOZA</t>
  </si>
  <si>
    <t>ANALILIAN SALAZAR CASTELEIRO</t>
  </si>
  <si>
    <t>LILIAN MATUZ ESPINOZA</t>
  </si>
  <si>
    <t xml:space="preserve">NORMA ALICIA LOPEZ CERVANTES </t>
  </si>
  <si>
    <t>FRANCISCO ADAN PAREDES HARO</t>
  </si>
  <si>
    <t>ROSANGELA LOPEZ CASTRO</t>
  </si>
  <si>
    <t>JUAN FRANCISCO ROSAS CORBALA</t>
  </si>
  <si>
    <t>ANA LAURA LOPEZ CASTRO</t>
  </si>
  <si>
    <t>MARIA CONCEPCION SOTO TAPIA</t>
  </si>
  <si>
    <t>JOSE ALFONSO VALENCIA DELGADO</t>
  </si>
  <si>
    <t>ANA PATRICIA MARTINEZ VAZQUEZ</t>
  </si>
  <si>
    <t>HILDA BERENICE MEDRANO RANGEL</t>
  </si>
  <si>
    <t>LUIS ANTONIO RODRIGUEZ</t>
  </si>
  <si>
    <t>ANDREA MARTINEZ VASQUEZ</t>
  </si>
  <si>
    <t>GLADYS JANETH ORTIZ LEON</t>
  </si>
  <si>
    <t>JOANA GUADALUPE ORTIZ LEON Y JULIO CESAR ARRIQUIVEZ ESQUER</t>
  </si>
  <si>
    <t>ANA ROMINA DURAN RAMOS</t>
  </si>
  <si>
    <t>RIGOBERTO DURAN GARCIA</t>
  </si>
  <si>
    <t>MARTHA LETICIA RAMOS BARRERAS</t>
  </si>
  <si>
    <t>RAMONA DURAN GARCIA</t>
  </si>
  <si>
    <t>HECTOR OMAR GARCIA OCHOA</t>
  </si>
  <si>
    <t>CLAUDIA DOLORES MORAN ACOSTA</t>
  </si>
  <si>
    <t>LUIS ELVIS ALAN RAMIREZ BUERAS SARA DALILA MORAN ACOSTA</t>
  </si>
  <si>
    <t>ANDREE DANIEL GARCIA MORAN</t>
  </si>
  <si>
    <t>ARELY ISABELLA FERNANDEZ WONG</t>
  </si>
  <si>
    <t>HUMBERTO FERNANDEZ OLOÑO</t>
  </si>
  <si>
    <t>AMPARO WONG MOLINA</t>
  </si>
  <si>
    <t>ALBERTO EUGENIO TORRES MOLINA Y LIZETH FERNANDEZ OLOÑO</t>
  </si>
  <si>
    <t>AYRAM SHARIAR ZAZUETA RAMIREZ</t>
  </si>
  <si>
    <t>ARIANNE RAMIREZ JIMENEZ</t>
  </si>
  <si>
    <t>RAMON SHARIAR ZAZUETA MAYTORENA</t>
  </si>
  <si>
    <t>ROBERTO RODRIGUEZ HOYOS</t>
  </si>
  <si>
    <t>CAROLINA ACOSTA FRAGOSO</t>
  </si>
  <si>
    <t>RAUL HORACIO ACOSTA FELIX</t>
  </si>
  <si>
    <t>ANA LAURA FRAGOSO CARRILLO</t>
  </si>
  <si>
    <t>ROXANA FRAGOSO CARRILLO</t>
  </si>
  <si>
    <t>DAMIAN HUMBERTO FERNANDEZ WONG</t>
  </si>
  <si>
    <t>BENJAMIN QUINTERO DELGADO E IVETH ALEJANDRA FERNANDEZ OLOÑO</t>
  </si>
  <si>
    <t>DANIEL ARNOLDO CORONADO SABAG</t>
  </si>
  <si>
    <t>DANIEL ARNOLDO CORONADO WONG</t>
  </si>
  <si>
    <t>NAYELI SABAG ACOSTA</t>
  </si>
  <si>
    <t>HUMBERTO ROGELIO HECHEVERRIA CONTRERAS Y SARAHI GUZMAN SABAG</t>
  </si>
  <si>
    <t>DANIEL LEONARDO RAMIREZ DESSENS</t>
  </si>
  <si>
    <t>MILAGROS DE LOURDES DESSENS LEON</t>
  </si>
  <si>
    <t>JULIO CESAR CHAVEZ CORONADO</t>
  </si>
  <si>
    <t>DANIELA RUIZ MALDONADO</t>
  </si>
  <si>
    <t>JULIAN DE JESUS RUIZ ESQUER</t>
  </si>
  <si>
    <t>DENISSE YOHANA MALDONADO ESPINOZA</t>
  </si>
  <si>
    <t xml:space="preserve">HIRAM SANTIAGO RAMIREZ DESSENS </t>
  </si>
  <si>
    <t>ERICK MARTINEZ FLORES</t>
  </si>
  <si>
    <t>IAN ZUREN LUGO TORRES</t>
  </si>
  <si>
    <t>JUDITH VIRGINIA SERRANO RIVERA</t>
  </si>
  <si>
    <t>IKER URIEL LUGO TORRES</t>
  </si>
  <si>
    <t>GEMA MERIT TORRES SERRANO</t>
  </si>
  <si>
    <t>JOEL EMILIO RIESGO HERNANDEZ</t>
  </si>
  <si>
    <t>JOEL GABRIEL RIESGO NAVARRO</t>
  </si>
  <si>
    <t>ALEYDA MARGARITA HERNANDEZ MONTERO</t>
  </si>
  <si>
    <t>FRANCISCA PEDROZA MONTERO</t>
  </si>
  <si>
    <t xml:space="preserve">JORGE ZAID TERAN MARIN </t>
  </si>
  <si>
    <t>ZAID ADRIAN TERAN RIVERA</t>
  </si>
  <si>
    <t>MELISSA GUADALUPE MARIN GUERRA</t>
  </si>
  <si>
    <t>MAYUMI GUIRADO OBANA</t>
  </si>
  <si>
    <t xml:space="preserve">JOSE EDUARDO ELENES SALAZAR </t>
  </si>
  <si>
    <t>NATANAEL ELENES FELIX</t>
  </si>
  <si>
    <t>MARIA DEL CARMEN SALAZAR MONTAÑO</t>
  </si>
  <si>
    <t>ROXANA SALAZAR MONTAÑO</t>
  </si>
  <si>
    <t>JOSE EMILIO TERAN HERNANDEZ</t>
  </si>
  <si>
    <t>JAVIER TERAN ORDUÑO</t>
  </si>
  <si>
    <t>ANA CECILIA HERNANDEZ QUIJADA</t>
  </si>
  <si>
    <t>BLANCA ESTELA ORDUÑO BADILLA</t>
  </si>
  <si>
    <t>JUAN CARLOS SOMBRA CASTAÑEDA</t>
  </si>
  <si>
    <t>GILBERTO SOMBRA LOUSTAUNAU</t>
  </si>
  <si>
    <t>TANIA SILVA LOPEZ</t>
  </si>
  <si>
    <t>JULIO EMILIANO ALCARAZ QUIHUIS</t>
  </si>
  <si>
    <t>FRANCISCA ARACELY ALCARAZ QUIHUIS</t>
  </si>
  <si>
    <t>JULIO ERNESTO ALCARAZ QUIHUIS</t>
  </si>
  <si>
    <t>MARIA AGUIÑAGA GARMENDIA</t>
  </si>
  <si>
    <t>MANUEL AGUIÑAGA BARRAGAN</t>
  </si>
  <si>
    <t>RUTH MARCELA GARMENDIA RUBIO</t>
  </si>
  <si>
    <t xml:space="preserve">MARIA IVANNA TERAN MARIN </t>
  </si>
  <si>
    <t>SILVIA ITZEL PARRA TERAN</t>
  </si>
  <si>
    <t>MARIO ALEJANDRO HERNANDEZ LUNA</t>
  </si>
  <si>
    <t>MARIO ALEJANDRO HERNANDEZ MENCHACA</t>
  </si>
  <si>
    <t>LETICIA MARIA LUNA MARTINEZ</t>
  </si>
  <si>
    <t>MARIO HERIBERTO HERNANDEZ MENCHACA</t>
  </si>
  <si>
    <t>MERIT IVANA HURTADO TORRES</t>
  </si>
  <si>
    <t>MAURICIO IVAN HURTADO AMARILLAS</t>
  </si>
  <si>
    <t>JUDITH TORRES SERRANO</t>
  </si>
  <si>
    <t>MIGUEL EMILIANO HERNANDEZ LOPEZ</t>
  </si>
  <si>
    <t>MIGUEL FRANCISCO HERNANDEZ MARTINEZ</t>
  </si>
  <si>
    <t>IVON CRISTINA LOPEZ DELGADILLO</t>
  </si>
  <si>
    <t>ROMAN ANWAR HERNANDEZ MARTINEZ</t>
  </si>
  <si>
    <t>ROBERTO ROMERO FLORES</t>
  </si>
  <si>
    <t>ROBERTO ROMERO HOLGUIN</t>
  </si>
  <si>
    <t xml:space="preserve">CORAZON DE MARIA FLORES SANCHEZ </t>
  </si>
  <si>
    <t>FRANCISCO IVAN CRUZ SANCHEZ</t>
  </si>
  <si>
    <t>SANTIAGO BURGOS REYES</t>
  </si>
  <si>
    <t>ALMA DELIA REYES ANGELES</t>
  </si>
  <si>
    <t>MARIA LOURDES QUINTANA AMADO</t>
  </si>
  <si>
    <t>SOFIA REYNA JUVERA</t>
  </si>
  <si>
    <t>GUILLERMO ANTONIO REYNA URBIETA</t>
  </si>
  <si>
    <t>GLORIA ALICIA JUVERA AYALA</t>
  </si>
  <si>
    <t>ELSA GABRIELA JUVERA AYALA</t>
  </si>
  <si>
    <t>VICTORIA CHRISLET VALENZUELA SANDOVAL</t>
  </si>
  <si>
    <t>CHRISTIAN ROBERTO VALENZUELA TREJO</t>
  </si>
  <si>
    <t>LETICIA SANDOVAL MARTINEZ</t>
  </si>
  <si>
    <t>ANGEL GABRIEL GARIBAY MARTINEZ Y REYNA ISABEL VALENZUELA TREJO</t>
  </si>
  <si>
    <t>VID RENATA DE LA CRUZ RESENDIZ</t>
  </si>
  <si>
    <t xml:space="preserve">JESUS ENRIQUE DE LA CRUZ ENCINAS </t>
  </si>
  <si>
    <t>VICTORIA BERENICE  RESENDIZ MACHO</t>
  </si>
  <si>
    <t>CRISTINA IVETTE HERRERA GONZALEZ ORTIZ</t>
  </si>
  <si>
    <t>VIOLETTA ALDAY JIMENEZ</t>
  </si>
  <si>
    <t>CESAR ARMANDO ALDAY ARRIOLA</t>
  </si>
  <si>
    <t>VIOLETA FRANCISCA JIMENEZ ENRIQUEZ</t>
  </si>
  <si>
    <t>OLIVIA LOPEZ ANDERE</t>
  </si>
  <si>
    <t>FRANCISCO HIRAM RAMIREZ ARGUMEDO</t>
  </si>
  <si>
    <t>OMAR AARON LUGO VACA</t>
  </si>
  <si>
    <t>GRISELDA CASTAÑEDA VAZQUEZ</t>
  </si>
  <si>
    <t>JAIME ANIBAL LA MADRID SANTIBAÑEZ Y PAOLA CLEMENCIA PEÑA CAVERO</t>
  </si>
  <si>
    <t>ADALBERTO BURGOS OCHOA</t>
  </si>
  <si>
    <t>OSCAR ALAN BARRETO VALENZUELA</t>
  </si>
  <si>
    <t>OSCAR ALAN BARRETO RIOS</t>
  </si>
  <si>
    <t xml:space="preserve">MARCO ANTONIO BARRETO RIOS </t>
  </si>
  <si>
    <t>GUADALUPE CORONADO GOMEZ</t>
  </si>
  <si>
    <t>ROSA STEPHANIE VALENZUELA FLORES</t>
  </si>
  <si>
    <t xml:space="preserve">GABRIEL ANTONIO ZEPEDA MIRAMONTES Y PASTORA PATRICIA PERALTA ESCALANTE </t>
  </si>
  <si>
    <t>AIRAM SUSANA AVILA PEÑUÑURI</t>
  </si>
  <si>
    <t xml:space="preserve">JUNIO </t>
  </si>
  <si>
    <t>PAULO ERNESTO AVILA LEDEZMA</t>
  </si>
  <si>
    <t>SUSANA HAYDEE PEÑUÑURI BALLESTEROS</t>
  </si>
  <si>
    <t>ERIKA IBARRA VAZQUEZ</t>
  </si>
  <si>
    <t xml:space="preserve">ALEXA GARCIA ALCARAZ </t>
  </si>
  <si>
    <t>JUAN ESTEBAN GARCIA PEREZ</t>
  </si>
  <si>
    <t>ALEJANDRA ALCARAZ LAFARGA</t>
  </si>
  <si>
    <t>EVELYN PRECIADO LAFARGA</t>
  </si>
  <si>
    <t>ANGELA MICHELLE ZAZUETA VILLA</t>
  </si>
  <si>
    <t>ROCIO ALEJANDRA VILLA RUIZ</t>
  </si>
  <si>
    <t>MIGUEL ANGEL ZAZUETA VALENZUELA</t>
  </si>
  <si>
    <t>ANGELIQUE LAGARDA HURTADO</t>
  </si>
  <si>
    <t>DAVID LAGARDA PAZ</t>
  </si>
  <si>
    <t>MARIA DE LOS ANGELES HURTADO SOTO</t>
  </si>
  <si>
    <t>ALONDRA LAGARDA HURATDO</t>
  </si>
  <si>
    <t>CAMILA SALAZAR MEDINA</t>
  </si>
  <si>
    <t>JUAN JOSE SALAZAR LEYVA</t>
  </si>
  <si>
    <t>GEORGINA PAOLA MEDINA GARCIA</t>
  </si>
  <si>
    <t>REINA OLIVA GUTIERREZ GARCIA</t>
  </si>
  <si>
    <t>DANIELA ORTIZ GARCIA</t>
  </si>
  <si>
    <t>RITA LORENIA GARCIA ANDRADE</t>
  </si>
  <si>
    <t>JOSE ROBERTO RODRIGUEZ LEYVA</t>
  </si>
  <si>
    <t>ROSA ARELIA RODRIGUEZ LEYVA</t>
  </si>
  <si>
    <t>ELISA PAULINA RODRIGUEZ MARTINEZ</t>
  </si>
  <si>
    <t>ARIANNA PATRICIA MARTINEZ TAPIA</t>
  </si>
  <si>
    <t>JAQUELINE IBARRA GAMEZ</t>
  </si>
  <si>
    <t xml:space="preserve">GABRIEL ALEXIS FIMBRES CRUZ </t>
  </si>
  <si>
    <t>CARLOS ALEXIS FIMBRES MARTINEZ</t>
  </si>
  <si>
    <t>ALEJANDRA GABRIELA CRUZ FLORES</t>
  </si>
  <si>
    <t>JOSE MANUEL FIMBRES MARTINEZ</t>
  </si>
  <si>
    <t>FERNANDA VICTORIA SUAREZ FIMBRES</t>
  </si>
  <si>
    <t>HUGO SUAREZ CASTILLO</t>
  </si>
  <si>
    <t>VERONICA FIMBRES MARTINEZ</t>
  </si>
  <si>
    <t>MARIEL FIMBRES MARTINEZ</t>
  </si>
  <si>
    <t>HECTOR ZAID BLANCO ANGULO</t>
  </si>
  <si>
    <t>HECTOR ODIN BLANCO PEREZ</t>
  </si>
  <si>
    <t>DIANEY ANGULO CAMACHO</t>
  </si>
  <si>
    <t>JESUS  ALBERTO ZAMORA CANTUA</t>
  </si>
  <si>
    <t>GILBERTO ZAMORA ORTEGA</t>
  </si>
  <si>
    <t>FLOR IVETTE CANTUA MATUS</t>
  </si>
  <si>
    <t>IRIS MAGDALENA CANTUA MATUS</t>
  </si>
  <si>
    <t>LIA MARISOL FIGUEROA ESPINOZA</t>
  </si>
  <si>
    <t>JOSE JESUS FIGUEROA QUIJADA</t>
  </si>
  <si>
    <t>NOHELIA ESPINOZA OLIVAS</t>
  </si>
  <si>
    <t>GRISELDA ESPINOZA OLIVAS</t>
  </si>
  <si>
    <t>MAXIMILIANO LOPEZ ORTEGA</t>
  </si>
  <si>
    <t>DAVID LOPEZ GONZALEZ</t>
  </si>
  <si>
    <t>ELVA SUSETH ORTEGA MOLINA</t>
  </si>
  <si>
    <t>MARTIN ALEJANDRO LOPEZ GONZALEZ</t>
  </si>
  <si>
    <t>PAULETH BETANCOURT ROJAS</t>
  </si>
  <si>
    <t>JUAN MANUEL BETANCOURT RODRIGUEZ</t>
  </si>
  <si>
    <t>SUJEY ROJAS SILVA</t>
  </si>
  <si>
    <t>SABINA SILVA PLAZA</t>
  </si>
  <si>
    <t>RAMON SANTIAGO LUQUE BORBON</t>
  </si>
  <si>
    <t>RAMON ALBERTO LUQUE MORALES</t>
  </si>
  <si>
    <t>SAHAMARA DANIELA BORBON FELIX</t>
  </si>
  <si>
    <t>ROSELYN GUERRERO SESMA</t>
  </si>
  <si>
    <t>ALEJANDRO QUERRERO SOTO</t>
  </si>
  <si>
    <t>ROSINA AYDALI SESMA NUÑEZ</t>
  </si>
  <si>
    <t>MIRIAM MARLENE ROJAS SILVA</t>
  </si>
  <si>
    <t>THELMA YERALDI SAVEDRA SALINAS</t>
  </si>
  <si>
    <t>MARTIN FRANCISCO SAVEDRA VALDEZ</t>
  </si>
  <si>
    <t>VICTORIA DAVILA FELIX</t>
  </si>
  <si>
    <t>LUIS CARLOS DAVILA ZAVALA</t>
  </si>
  <si>
    <t>MARIA FELIX MARTINEZ</t>
  </si>
  <si>
    <t>PAUL ALBERTO ORTIZ RODRIGUEZ</t>
  </si>
  <si>
    <t>ALEJANDRO AGUILAR VILLAESCUSA</t>
  </si>
  <si>
    <t>JESUS  ARMANDO GRACIA ESQUIVEL Y DENIA BROCKMAN GUERRERO</t>
  </si>
  <si>
    <t xml:space="preserve">SUJEY ISABELLA BETANCOURT ROJAS </t>
  </si>
  <si>
    <t>DAMARIS YOCELIM SALINAS ENCINAS</t>
  </si>
  <si>
    <t>DAVID DAVILA DAVILA Y MA. REFUGIO ZAVALA GUTIERREZ</t>
  </si>
  <si>
    <t>RAMON ENRIQUE Y CLAUDIA IXCHEL</t>
  </si>
  <si>
    <t>MARCO VINICIO VEGA LOPEZ</t>
  </si>
  <si>
    <t>MONICA MORALES RODRIGUEZ</t>
  </si>
  <si>
    <t>JESUS JOEL TREJO OCHOA</t>
  </si>
  <si>
    <t>LEONOR CONTRERAS DE TREJO</t>
  </si>
  <si>
    <t>ALAN ROMERO VALENZUELA</t>
  </si>
  <si>
    <t>ISELA VALENZUELA LOPEZ</t>
  </si>
  <si>
    <t>JUANA VALENZUELA LOPEZ</t>
  </si>
  <si>
    <t>ALIHA DANIELA ESCALANTE TORRES</t>
  </si>
  <si>
    <t>JUAN CARLOS ESCALANTE</t>
  </si>
  <si>
    <t>JOHANNA TORRES CELAYA</t>
  </si>
  <si>
    <t>CARMEN YOLANDA ESCALANTE FEDERICO</t>
  </si>
  <si>
    <t>EDUARDO IBARRA CERVANTES</t>
  </si>
  <si>
    <t>ENRIQUE IBARRA GUZMAN</t>
  </si>
  <si>
    <t>ALBA LIZETH CERVANTES PEÑUÑURI</t>
  </si>
  <si>
    <t xml:space="preserve">GLORIA ALBA PEÑUÑURI GARDNER </t>
  </si>
  <si>
    <t>ELISA CRISTINA CAMACHO ARMENTA</t>
  </si>
  <si>
    <t>JUAN PEDRO CAMACHO MORENO</t>
  </si>
  <si>
    <t>ELISA CRISTINA ARMENTA REYES</t>
  </si>
  <si>
    <t>ENEDINA HURTADO SORTILLON</t>
  </si>
  <si>
    <t>ALEJANDRO DE ESESARTE NAVARRO</t>
  </si>
  <si>
    <t>KARLA MARIELA BOJORQUEZ LOPEZ</t>
  </si>
  <si>
    <t>CLAUDIA TRUJILLO LEYVA</t>
  </si>
  <si>
    <t>EMILY WILLIAMS ARNOLD</t>
  </si>
  <si>
    <t>JESUS MARIA WILLIAMS CLAVERO</t>
  </si>
  <si>
    <t>CRUZ ELENA ARNOLD BARRAZ</t>
  </si>
  <si>
    <t>SONIA ELIZABETH WILLIAMS CLAVERO</t>
  </si>
  <si>
    <t>RAFAEL EDUARDO MENDIVIL RAMIREZ Y MARIA DEL ROSARIO BUELNA MENDIVIL</t>
  </si>
  <si>
    <t>ISSABELA MARTINEZ SANCHEZ</t>
  </si>
  <si>
    <t>CESAR ALONSO MARTINEZ RODRIGUEZ</t>
  </si>
  <si>
    <t>KARLA KARINA SANCHEZ PESQUEIRA</t>
  </si>
  <si>
    <t>FABIOLA GUADALUPE GOMEZ PERALTA</t>
  </si>
  <si>
    <t>JOSE PABLO BUELNA GODOY</t>
  </si>
  <si>
    <t>FRANCISCO BUELNA ACOSTA</t>
  </si>
  <si>
    <t>JESSICA GODOY CERVANTES</t>
  </si>
  <si>
    <t>JESUS ANTONIO ACOSTA MURILLO</t>
  </si>
  <si>
    <t>JULIE MIA HURTADO SORTILLON</t>
  </si>
  <si>
    <t>HUMBERTO HURTADO GARCIA</t>
  </si>
  <si>
    <t>ESTHER ALICIA SORTILLON GONZALEZ</t>
  </si>
  <si>
    <t>EVA MARIA NORIEGA CORDOVA</t>
  </si>
  <si>
    <t>MARIA MONSERRATH AMARILLAS NORIEGA</t>
  </si>
  <si>
    <t>JESUS MIGUEL RAMIREZ CORTEZ</t>
  </si>
  <si>
    <t>CINTHIA MARGARITA FERNANDEZ NORIEGA</t>
  </si>
  <si>
    <t xml:space="preserve">MANUEL ENRIQUE ESQUER DURAN </t>
  </si>
  <si>
    <t>YESENIA GUADALUPE IBARRA VALENZUELA</t>
  </si>
  <si>
    <t xml:space="preserve">SANDRA MARIELA IBARRA VALENZUELA </t>
  </si>
  <si>
    <t>SEBASTIAN CALLES GRAFF</t>
  </si>
  <si>
    <t>CARLOS RENE CALLES TORRES</t>
  </si>
  <si>
    <t>RAQUEL AMALIA GTAFF VILLAESCUZA</t>
  </si>
  <si>
    <t>CARLOS ALFREDO RAMIREZ GRAFF</t>
  </si>
  <si>
    <t>ZOE GISSEL FIERRO VEGA</t>
  </si>
  <si>
    <t>ALEJANDRO ELEAZAR FIERRO VALENZUELA</t>
  </si>
  <si>
    <t xml:space="preserve">CHRISTIAN GISSEL VEGA RUIZ </t>
  </si>
  <si>
    <t>EVAN ALEXANDER ACOSTA URIBE</t>
  </si>
  <si>
    <t>JORGE IROEL ACOSTA MARTINEZ</t>
  </si>
  <si>
    <t>MARIA JEANNETH URIBE TORRES</t>
  </si>
  <si>
    <t>EDEN SIGIFREDO MONTOYA SANCHEZ Y IDANIA DANAE ESPINOZA DUARTE</t>
  </si>
  <si>
    <t>DIEGO ALBERTO OVIEDO VALENZUELA</t>
  </si>
  <si>
    <t>CARLOS ALBERTO OVIEDO MORA</t>
  </si>
  <si>
    <t>BRISA JEANETH VALENZUELA IZAGUIRRE</t>
  </si>
  <si>
    <t>DYLAN AXEL OVIEDO VALENZUELA</t>
  </si>
  <si>
    <t>ADRIAN RENE  ROMERO RUELAS</t>
  </si>
  <si>
    <t>VIRGILIO LIZARRAGA MORALES Y BIRINIA BORBON FELIX</t>
  </si>
  <si>
    <t>IKER FERNANDO MENDIVIL GALINDO</t>
  </si>
  <si>
    <t xml:space="preserve">FERNANDO FRANCISCO MENDIVIL RAMIREZ </t>
  </si>
  <si>
    <t>MARIA BELEM RAMIREZ NORIEGA</t>
  </si>
  <si>
    <t>MARIA RENEE RAMIREZ NORIEGA</t>
  </si>
  <si>
    <t>ALEXA CHAVEZ RODRIGUEZ</t>
  </si>
  <si>
    <t>MIGUEL HUMBERTO CHAVEZ CAMPOS</t>
  </si>
  <si>
    <t>LAURA ELENA RODRIGUEZ CASTRO</t>
  </si>
  <si>
    <t>LILLIAN MARICELA RODRIGUEZ CASTRO</t>
  </si>
  <si>
    <t>ANGEL GUILLERMO FLORES PADILLA</t>
  </si>
  <si>
    <t>JESUS SAUL FLORES CARMELO</t>
  </si>
  <si>
    <t>GUADALUPE PADILLA YAÑEZ</t>
  </si>
  <si>
    <t>JESUS EPIGMENIO FLORES VAZQUEZ Y FRANCISCA GUADALUPE CARMELO ARREQUIVES</t>
  </si>
  <si>
    <t>ALEYDA MARIANA RIESGO HERNANDEZ</t>
  </si>
  <si>
    <t>ALEJANDRA JUSAINO MADONIA</t>
  </si>
  <si>
    <t>BAYRON ARAMIS ROBLES SOMBRA</t>
  </si>
  <si>
    <t>ABRAHAM HERIBERTO ROBLES NOGALES</t>
  </si>
  <si>
    <t>YADIRA IVETTE SOMBRA CABRERA</t>
  </si>
  <si>
    <t>DANIELA CONTRERAS VALENZUELA</t>
  </si>
  <si>
    <t xml:space="preserve">DAYANE ALEXIA MAYBOCA TARAZON </t>
  </si>
  <si>
    <t>LORENA ALICIA TARAZON TREJO</t>
  </si>
  <si>
    <t>BLADIMIR ZAYAS NUÑEZ</t>
  </si>
  <si>
    <t>RAUL BLADIMIR ZAYAS GARCIA</t>
  </si>
  <si>
    <t>CLAUDIA YANETH NUÑEZ GUZMAN</t>
  </si>
  <si>
    <t>DANIELA ADRIANA MEZA OVIEDO</t>
  </si>
  <si>
    <t>JORGE LEOBARDO MEZA COTA</t>
  </si>
  <si>
    <t>LETICIA ADRIANA OVIEDO GARCIA</t>
  </si>
  <si>
    <t>VERONICA ALVAREZ</t>
  </si>
  <si>
    <t>DARIO EMILIANO VILLELAS BARTOLINI</t>
  </si>
  <si>
    <t>DARIO GERARDO VILLELAS DOMINGUEZ</t>
  </si>
  <si>
    <t>BRENDA BERENICE BARTOLINI REYES</t>
  </si>
  <si>
    <t>EDGAR MAURICIO AVILA ALMARAZ Y AMELIA REBECA HERRERA VALENZUELA</t>
  </si>
  <si>
    <t>CATALINA RODRIGUEZ ALVAREZ</t>
  </si>
  <si>
    <t>ELIZABETH SELENE MADA BACARICIA</t>
  </si>
  <si>
    <t>RICARDO ELIEL MADA CLARK</t>
  </si>
  <si>
    <t>REYNA ELIZABETH BACARICIA TANORI</t>
  </si>
  <si>
    <t>REYNA ELIZABETH TANORI VASQUEZ</t>
  </si>
  <si>
    <t>LUIS ANGEL HERNANDEZ GASTELUM</t>
  </si>
  <si>
    <t>JHOVANI HERNANDEZ VERDUGO</t>
  </si>
  <si>
    <t>ANA ALICIA GASTELUM CONTRERAS</t>
  </si>
  <si>
    <t>HIPOLITO MONGE HERNANDEZ</t>
  </si>
  <si>
    <t xml:space="preserve">MARIA XIMENA ENRIQUEZ VEGA </t>
  </si>
  <si>
    <t>SERGIO ANTONIO ENRIQUEZ ARVIZU</t>
  </si>
  <si>
    <t>LETICIA VEGA MOLINARES</t>
  </si>
  <si>
    <t>ROSA MARIA VEGA MOLINARES</t>
  </si>
  <si>
    <t>JORGE MARTINEZ DOMINGUEZ</t>
  </si>
  <si>
    <t>PATRICIA IRENE NEVAREZ PANDULA</t>
  </si>
  <si>
    <t>FERNANDA PATRICIA MARTINEZ NEVAREZ</t>
  </si>
  <si>
    <t>MATHEO COTA MOTTA</t>
  </si>
  <si>
    <t>MARIA MERCEDES COTA MOTA</t>
  </si>
  <si>
    <t>LUISA FERNANDA MONTOYA BARNEZ</t>
  </si>
  <si>
    <t xml:space="preserve">REYNA GUADALUPE DUARTE REYES </t>
  </si>
  <si>
    <t xml:space="preserve">JAIME DUARTE RODRIGUEZ </t>
  </si>
  <si>
    <t xml:space="preserve">DALIA REYES HOLGUIN </t>
  </si>
  <si>
    <t xml:space="preserve">HAYDEE REYES HOLGUIN </t>
  </si>
  <si>
    <t>ALEJANDRO CORDOVA AMARILLAS</t>
  </si>
  <si>
    <t>GASPAR ALBERTO CORDOVA CORONADO</t>
  </si>
  <si>
    <t>ALEJANDRA AMARILLAS CASTILLO</t>
  </si>
  <si>
    <t>KARLA GUADALUPE AMARILLAS CASTILLO</t>
  </si>
  <si>
    <t>ANAIRAM DIAZ GUTIERREZ</t>
  </si>
  <si>
    <t>JESUS NOE DIAZ CONTRERAS</t>
  </si>
  <si>
    <t>REYNA ANGELICA GUTIERREZ ARVIZU</t>
  </si>
  <si>
    <t>ANGEL MARIANA GRANILLO VALENZUELA</t>
  </si>
  <si>
    <t>ERNESTO GRANILLO BENITEZ</t>
  </si>
  <si>
    <t xml:space="preserve">FRANCISCA PARRA DIAZ </t>
  </si>
  <si>
    <t>ARLETH NATALIA BELTRAN RIOS</t>
  </si>
  <si>
    <t>GUSTAVO BELTRAN SUEFF</t>
  </si>
  <si>
    <t>ALMA DELIA RIOS NIEBLAS</t>
  </si>
  <si>
    <t>ANA MARIA BELTRAN SUEFF</t>
  </si>
  <si>
    <t>CARLOS DANIEL LEAL LUGO</t>
  </si>
  <si>
    <t>DANIEL ENRIQUE LEAL GOMEZ</t>
  </si>
  <si>
    <t>ISBETH DEL CARMEN LUGO DE GOUVEIA</t>
  </si>
  <si>
    <t>SAUL COLORADO COTA</t>
  </si>
  <si>
    <t>DAMARIS ALEJANDRA JIMENEZ UNG</t>
  </si>
  <si>
    <t>MARCO ANTONIO JIMENEZ VERDUGO</t>
  </si>
  <si>
    <t>BLANCA IRAZEMA UNG LOZANO</t>
  </si>
  <si>
    <t>JUAN ALFONSO UNG LOZANO Y LUZ MARIA CAMPILLO VILLAESCUSA</t>
  </si>
  <si>
    <t xml:space="preserve">DIEGO ARMANDO ENCINAS GUTIERREZ </t>
  </si>
  <si>
    <t xml:space="preserve">JOSE JESUS ENCINAS FIGUEROA </t>
  </si>
  <si>
    <t xml:space="preserve">DIANA GUTIERREZ MUÑOZ </t>
  </si>
  <si>
    <t xml:space="preserve">JESUS ALFREDO NUÑEZ CRUZ </t>
  </si>
  <si>
    <t xml:space="preserve">ALFREDO NUÑEZ RENTERIA </t>
  </si>
  <si>
    <t>MARIO NUÑEZ RENTERIA</t>
  </si>
  <si>
    <t xml:space="preserve">LUIS DIEGO CASTRO GONZALEZ </t>
  </si>
  <si>
    <t>VICTOR GUADALUPE CASTRO FLORES</t>
  </si>
  <si>
    <t>SURIAN IZCALLY GONZALEZ ARAUJO</t>
  </si>
  <si>
    <t xml:space="preserve">MARCO ANTONIO ALDAY SALCIDO </t>
  </si>
  <si>
    <t xml:space="preserve">MARIANA CASTRO GONZALEZ </t>
  </si>
  <si>
    <t xml:space="preserve">MIGUEL ANGEL DUARTE FELIX </t>
  </si>
  <si>
    <t>MIGUEL ANGEL DUARTE ROJAS</t>
  </si>
  <si>
    <t>GUSTAVO ALEJANDRO FELIX HERRERA</t>
  </si>
  <si>
    <t>RAMON BUSTOS CELAYA</t>
  </si>
  <si>
    <t>RAMON ANGEL BUSTOS MANZO</t>
  </si>
  <si>
    <t xml:space="preserve">KARLA DENISSE CELAYA LEON </t>
  </si>
  <si>
    <t xml:space="preserve">SAMANTHA ESCALANTE IBARRA </t>
  </si>
  <si>
    <t>JESUS CUAUHTEMOC ESCALANTE MOLINA</t>
  </si>
  <si>
    <t>LUZ PAULINA IBARRA DIAZ</t>
  </si>
  <si>
    <t>SANTIAGO ORTEGA JACOTT</t>
  </si>
  <si>
    <t>CARLOS ORTEGA VERDUGO</t>
  </si>
  <si>
    <t xml:space="preserve">MARTHA HILDA JACOTT CAMPOY </t>
  </si>
  <si>
    <t>FIDELIA ORTEGA VERDUGO</t>
  </si>
  <si>
    <t xml:space="preserve">AARON CORONADO GALVEZ </t>
  </si>
  <si>
    <t xml:space="preserve">DIANA ZULLET GASTELUM ROJERO </t>
  </si>
  <si>
    <t>CYNTHIA ANNAIS GASTELUM ROJERO</t>
  </si>
  <si>
    <t>MANUELA ARVIZU FERNANDEZ</t>
  </si>
  <si>
    <t xml:space="preserve">ALEJANDRO OCHOA ENCINAS </t>
  </si>
  <si>
    <t>ANA LIZVETH CRUZ SOUFFLE</t>
  </si>
  <si>
    <t>MARIA NEILA  MENDOZA ARMENTA</t>
  </si>
  <si>
    <t>LUIS CARLOS CELAYA PIÑA Y MARTHA DEL SOCORRO LEON MARCADO</t>
  </si>
  <si>
    <t>ROCIO MICHELLE JEANNETTE ALMANZO</t>
  </si>
  <si>
    <t>ELISA MARIELL DE ESESARTE BOJORQUEZ</t>
  </si>
  <si>
    <t>EDNA PATRICIA GALINDO QUINTANA</t>
  </si>
  <si>
    <t>GRISELDA BETZABETH FELIX ORTIZ</t>
  </si>
  <si>
    <t xml:space="preserve">REBEKA MILADY JIMENEZ UNG </t>
  </si>
  <si>
    <t>IRIS AYDEE VALENZUELA GUERRERO</t>
  </si>
  <si>
    <t>LUIS NAPOLEON ISLAS IBARRA</t>
  </si>
  <si>
    <t>EVANGELINA ISLAS IBARRA</t>
  </si>
  <si>
    <t>ANA LUISA ISLAS KITAZAWA</t>
  </si>
  <si>
    <t>ANA DEL CARMEN KITAZAWA LEYVA</t>
  </si>
  <si>
    <t>JUAN EDUARDO KITAZAWA LEYVA</t>
  </si>
  <si>
    <t>JOSE ANIBAL BARRON DIAZ</t>
  </si>
  <si>
    <t xml:space="preserve">AARON CORONADO GASTELUM </t>
  </si>
  <si>
    <t>VARENA LUCIA DE LA CRUZ RESENDIZ</t>
  </si>
  <si>
    <t>JESUS ENRIQUE DE LA CRUZ ENCINAS</t>
  </si>
  <si>
    <t>VICTORIA BERENICE RESENDIZ MACHO</t>
  </si>
  <si>
    <t>JULIO CESAR AVILA ROMERO</t>
  </si>
  <si>
    <t>MONICA TORRES ROMERO</t>
  </si>
  <si>
    <t>MARIA CORELLA SALCIDO</t>
  </si>
  <si>
    <t>LUIS FELIPE CORELLA OROZCO</t>
  </si>
  <si>
    <t>REYNA GUADALUPE SALCIDO CORRALES</t>
  </si>
  <si>
    <t>HECTOR ARMANDO CASTRO ORTEGA</t>
  </si>
  <si>
    <t>LORENA SALCIDO CORRALES</t>
  </si>
  <si>
    <t xml:space="preserve">MARIELA CASILLAS BARBA Y ALAN LARES GARCIA </t>
  </si>
  <si>
    <t>CLAUDIA MARIA MONGE RAMIREZ</t>
  </si>
  <si>
    <t>REGINA MELISSA ESQUER IBARRA</t>
  </si>
  <si>
    <t>OSCAR JAVIER FLORES GARCIA</t>
  </si>
  <si>
    <t>SILVIA VALENZUELA OCHOA Y MARIA DEL ROSARIO RUIZ ESCALANTE</t>
  </si>
  <si>
    <t>ESLY LOPEZ ARAUJO</t>
  </si>
  <si>
    <t>ALEXA URIAS HARO</t>
  </si>
  <si>
    <t>JOSE ALBERTO URIAS ESTRELLA</t>
  </si>
  <si>
    <t>LUZ AURORA HARO PESQUEIRA</t>
  </si>
  <si>
    <t>MARIA MARCELA ESTRELLA RAMIREZ</t>
  </si>
  <si>
    <t>RUY RENDON LEAL</t>
  </si>
  <si>
    <t>ANGEL IRAM QUIHUIS RODRIGUEZ</t>
  </si>
  <si>
    <t>HERIBERTO QUIHUIS CHAIREZ</t>
  </si>
  <si>
    <t xml:space="preserve">MARIA DOLORES RODRIGUEZ GOLDEN </t>
  </si>
  <si>
    <t xml:space="preserve">SANDRA LUZ SOTO </t>
  </si>
  <si>
    <t xml:space="preserve">DANNA PAULA SALAS NAVARRO </t>
  </si>
  <si>
    <t>JOSE LUIS SALAS PONCE</t>
  </si>
  <si>
    <t>ELOINA NAVARRO AVILA</t>
  </si>
  <si>
    <t>SANDRA LUZ NAVARRO AVILA</t>
  </si>
  <si>
    <t>DIEGO BOTELLO MENDEZ</t>
  </si>
  <si>
    <t>MIGUEL BOTELLO ARAUJO</t>
  </si>
  <si>
    <t>MARCELA MENDEZ BALDERRAMA</t>
  </si>
  <si>
    <t>NOEL ALEJANDRO SANCHEZ ESTRADA</t>
  </si>
  <si>
    <t>FERNANDO ARTURO LOPEZ MONTAÑO</t>
  </si>
  <si>
    <t>LUIS FERNANDO LOPEZ PEÑA</t>
  </si>
  <si>
    <t>SONIA MONTAÑO DAVILA</t>
  </si>
  <si>
    <t>LUIS ENRIQUE VERDUGO TOLEDO</t>
  </si>
  <si>
    <t>GABRIEL ALEJANDRO LOPEZ GARCIA</t>
  </si>
  <si>
    <t>GABRIEL RENE LOPEZ GAXIOLA</t>
  </si>
  <si>
    <t>IRLANDA FRANCIS GARCIA GAMEZ</t>
  </si>
  <si>
    <t>MARIA FERNANDA LOPEZ GAMEZ</t>
  </si>
  <si>
    <t>JOSE ARMANDO ESPINOZA QUEZADA</t>
  </si>
  <si>
    <t>JOEL ARMANDO ESPINOZA FLORES</t>
  </si>
  <si>
    <t>ASTRID SELENE QUEZADA ENCINAS</t>
  </si>
  <si>
    <t>JOSE EDUARDO LOPEZ BADILLA</t>
  </si>
  <si>
    <t>MANUEL DE JESUS LOPEZ ONTIVEROS</t>
  </si>
  <si>
    <t>MARIA LUISA BADILLA MALDONADO</t>
  </si>
  <si>
    <t>JOSE PABLO MARQUEZ BUSTAMANTE</t>
  </si>
  <si>
    <t>JUAN MANUEL BETANCOURT JR.</t>
  </si>
  <si>
    <t>MARIA GUADALUPE SILVA PLAZA</t>
  </si>
  <si>
    <t>KAROL JANETH MADRID HUERTA</t>
  </si>
  <si>
    <t>MANUEL JUVENTINO MADRID GARCIA</t>
  </si>
  <si>
    <t>IRMA JEANNETTE HUERTA ROMO</t>
  </si>
  <si>
    <t>RAFAELA BERENICE MADRID GARCIA</t>
  </si>
  <si>
    <t>LUIS EMILIO RUIZ CORTEZ</t>
  </si>
  <si>
    <t>LUIS ALBERTO RUIZ CORONADO</t>
  </si>
  <si>
    <t>AIDA REFUGIO CORTEZ DURAN</t>
  </si>
  <si>
    <t>NOEL ALEJANDRO SANCHEZ PAEZ</t>
  </si>
  <si>
    <t>AMINA GEORGETTE PAEZ</t>
  </si>
  <si>
    <t>MARIO ALBERTO RUIZ CORTEZ</t>
  </si>
  <si>
    <t>JORGE ARTURO ESTRADA</t>
  </si>
  <si>
    <t>PAULO ERNESTO AVILA PEÑUÑURI</t>
  </si>
  <si>
    <t>SOFIA MARIN GOMEZ</t>
  </si>
  <si>
    <t>JAIRO MARIN</t>
  </si>
  <si>
    <t>SORENIDT GOMEZ CAMPUSANO</t>
  </si>
  <si>
    <t>BIBIANA GOMEZ CAMPUSANO</t>
  </si>
  <si>
    <t>XAVIER ALFONSO VASQUEZ MONTAÑO</t>
  </si>
  <si>
    <t>NORBERTO VAZQUEZ ANDRADE</t>
  </si>
  <si>
    <t>KARINA MONTAÑO DAVILA</t>
  </si>
  <si>
    <t>XIMENA RODRIGUEZ ROSAS</t>
  </si>
  <si>
    <t>LUIS GONZAGA RODRIGUEZ MORENO</t>
  </si>
  <si>
    <t>ERIKA JANETH ROSAS ENCISO</t>
  </si>
  <si>
    <t>ARNOLD IVANISSE GOMEZ CRUZ</t>
  </si>
  <si>
    <t>LEGNA MAYLIN CORRAL JIMENEZ</t>
  </si>
  <si>
    <t>ANGEL DE JESUS CORRAL AGUILAR</t>
  </si>
  <si>
    <t>ZARET DE JESUS JIMENEZ TORRES</t>
  </si>
  <si>
    <t>HUMBERTO MARQUEZ RUIZ</t>
  </si>
  <si>
    <t>FRANCISCA CRISTINA DIAZ  TORRES</t>
  </si>
  <si>
    <t>ANA SOFIA GAMEZ BOJORQUEZ</t>
  </si>
  <si>
    <t>JESUS ARMANDO GAMEZ CELAYA</t>
  </si>
  <si>
    <t>DULCE MARIA BOJORQUEZ CHAVEZ</t>
  </si>
  <si>
    <t>MIRIAM GUADALUPE BOJORQUEZ CHAVEZ</t>
  </si>
  <si>
    <t>ANETTE ANDALON INZUNZA</t>
  </si>
  <si>
    <t>JORGE LUIS ANDALON MARTINEZ</t>
  </si>
  <si>
    <t xml:space="preserve">FLORIZEL INZUNZA TISNADO </t>
  </si>
  <si>
    <t>AXEL ALEJANDRO DE ESESARTE BOJORQUEZ</t>
  </si>
  <si>
    <t>CARLOS MANUEL SANDOVAL VILLA</t>
  </si>
  <si>
    <t>MARIBEL MARTINEZ LEON</t>
  </si>
  <si>
    <t>LUCIA GUADALUPE MARES GUTIERREZ Y JESUS ERNESTO COTA MONTAÑO</t>
  </si>
  <si>
    <t>DANNA VALERIA CORDOVA ROCHA</t>
  </si>
  <si>
    <t>JUAN ANTONIO CORDOVA FELIX</t>
  </si>
  <si>
    <t>ALMA TERESITA ROCHA QUINTANAR</t>
  </si>
  <si>
    <t>ESTEBAN ROMANDIA ESCOBAR</t>
  </si>
  <si>
    <t>JULIAN ESTEBAN ROMANDIA PADILLA</t>
  </si>
  <si>
    <t>CRISTINA MARGARITA ESCOBAR MADRID</t>
  </si>
  <si>
    <t>JULIAN ESTEBAN ROMANDIA PADILLA Y CRISTINA MARGARITA ESCOBAR MADRID</t>
  </si>
  <si>
    <t>IVAN ELLIOT IBARRA ORTEGA</t>
  </si>
  <si>
    <t>BERENICE LUNA HERNANDEZ</t>
  </si>
  <si>
    <t>RAMON ALAN IBARRA ORTEGA</t>
  </si>
  <si>
    <t>IVAN ALEXYS IBARRA LUNA</t>
  </si>
  <si>
    <t xml:space="preserve">JOSE ALEJANDRO HURTADO RODRIGUEZ </t>
  </si>
  <si>
    <t>FRANCISCO JAVIER HURTADO LEY</t>
  </si>
  <si>
    <t>DOLORES RODRIGUEZ MUÑOZ</t>
  </si>
  <si>
    <t>JOSE MANUEL ALVAREZ FLORES</t>
  </si>
  <si>
    <t>JOSE FRANCISCO BUELNA GODOY</t>
  </si>
  <si>
    <t xml:space="preserve">KASSANDRA MURILLO MONTAÑO </t>
  </si>
  <si>
    <t>HERIBERTO MURILLO MARTINEZ</t>
  </si>
  <si>
    <t>KARLA PATRICIA MONTAÑO FIGUEROA</t>
  </si>
  <si>
    <t>CRISTINA MURILLO  MARTINEZ</t>
  </si>
  <si>
    <t>LOAN JAVIER ACOSTA VEGA</t>
  </si>
  <si>
    <t>FRANCISCO JAVIER ACOSTA MEJIA</t>
  </si>
  <si>
    <t>ABIGAHIL VEGA GUERRERO</t>
  </si>
  <si>
    <t>MANUEL DE JASUS MONTAÑO IBARRA</t>
  </si>
  <si>
    <t>MARIAN LOPEZ ROSAS</t>
  </si>
  <si>
    <t>HUMBERTO LOPEZ ESQUIVEL</t>
  </si>
  <si>
    <t>VERONICA ROSAS SIERRA</t>
  </si>
  <si>
    <t>LUIS ALFONSO ROSAS SIERRA</t>
  </si>
  <si>
    <t>MONICA CAMPOY PAZ</t>
  </si>
  <si>
    <t>JOSE GUADALUPE CAMPOY FIGUEROA</t>
  </si>
  <si>
    <t>GABRIELA PAZ ROBLES</t>
  </si>
  <si>
    <t>NUBIA GUADALUPE VALDEZ PADILLA</t>
  </si>
  <si>
    <t>NANCY ALEJANDRA VILLANUEVA URBINA</t>
  </si>
  <si>
    <t>CARLOS ALBERTO VILLANUEVA FAVA</t>
  </si>
  <si>
    <t>NANCY MINERVA URBINA MIRANDA</t>
  </si>
  <si>
    <t>ISABELA GONZALEZ URBINA</t>
  </si>
  <si>
    <t>SANDRO MIGUEL JIMENEZ MORENO</t>
  </si>
  <si>
    <t>ROBERTO BENITO JIMENEZ CRUZ</t>
  </si>
  <si>
    <t>VERONICA LIBRADA MORENO ESCAMILLA</t>
  </si>
  <si>
    <t>ANA LUCIA DAVILA ZAVALA</t>
  </si>
  <si>
    <t>JUDITH  LORENIA  CORDOVA FELIX</t>
  </si>
  <si>
    <t>CARLOS ALEJANDRO SANDOVAL  MARTINEZ</t>
  </si>
  <si>
    <t>EDUARDO MORALES  ZAZUETA</t>
  </si>
  <si>
    <t>CLAUDIA ERIKA GARCIA RUIZ</t>
  </si>
  <si>
    <t>MARIA JOSE MARTINEZ NEVAREZ</t>
  </si>
  <si>
    <t>BYRON EMILIANO MAYBOCA TARAZON</t>
  </si>
  <si>
    <t>JUAN CARLOS ORTEGA ABASOLO</t>
  </si>
  <si>
    <t>MARIA DEL ROSARIO ORTEGA ABASOLO</t>
  </si>
  <si>
    <t>PAULINA GRACIA MARTINEZ</t>
  </si>
  <si>
    <t>OSVALDO GUADALUPE GRACIA NORIEGA</t>
  </si>
  <si>
    <t>ABIGAIL HERNANDEZ GASTELUM</t>
  </si>
  <si>
    <t>JHOVANY HERNANDEZ  VERDUGO</t>
  </si>
  <si>
    <t>CONSEPCION FELIX RIVERA</t>
  </si>
  <si>
    <t>ANA VALERIA ACOSTA FRAGOSO</t>
  </si>
  <si>
    <t>ISADORA FRAGOSO CARRILLO</t>
  </si>
  <si>
    <t>CAMILA MENESES NEVAREZ</t>
  </si>
  <si>
    <t>RAFAEL MENESES OCEJO</t>
  </si>
  <si>
    <t>JULIETA NEVAREZ LLAMAS</t>
  </si>
  <si>
    <t>CARLOS IVAN MADRID AVITIA</t>
  </si>
  <si>
    <t>VERONICA SALAZAR DURAZO</t>
  </si>
  <si>
    <t>DANNA OLMEDO RODRIGUEZ</t>
  </si>
  <si>
    <t>ABEL ANTONIO OLMEDO RUELAS</t>
  </si>
  <si>
    <t>ANALCIRA RODRIGUEZ FIGUEROA</t>
  </si>
  <si>
    <t>ANA LILIAN ALVAREZ LOPEZ</t>
  </si>
  <si>
    <t>DEMIAN VILLAVICENCIO MOLINA</t>
  </si>
  <si>
    <t>SAUL VILLAVICENCIO GONZALEZ</t>
  </si>
  <si>
    <t>LORENA MOLINA YANEZ</t>
  </si>
  <si>
    <t>JESUS ENRIQUE AGUIRRE FELIX</t>
  </si>
  <si>
    <t>ESTEBAN ALBERTO ALVAREZ FELIX</t>
  </si>
  <si>
    <t>LUCIO ALBERTO ALVAREZ FLORES</t>
  </si>
  <si>
    <t>GLENDA YADHIRA FELIX SALAZAR</t>
  </si>
  <si>
    <t>ROSA MARIA FELIX SALAZAR</t>
  </si>
  <si>
    <t>FELIX MEDINA ESPINOZA</t>
  </si>
  <si>
    <t>PATRICIA AGUIRRE CRUZ</t>
  </si>
  <si>
    <t>GISELLE PATRICIA MEDINA AGUIRRE</t>
  </si>
  <si>
    <t>INGRID MELISSA MUNGARAY LIZARRAGA</t>
  </si>
  <si>
    <t>JOSE FRANCISCO MUNGARAY ORTEGA</t>
  </si>
  <si>
    <t>MISIS PERLA LIZARRAGA JACOTT</t>
  </si>
  <si>
    <t>KARLA CECILIA ARELLANES TORRES</t>
  </si>
  <si>
    <t>IVANNA RAYGOZA OJEDA</t>
  </si>
  <si>
    <t>JORGE MARCO RAYGOZA MENDOZA</t>
  </si>
  <si>
    <t>GABRIELA OJEDA LERMA</t>
  </si>
  <si>
    <t>ELIA IVETH OJEDA LERMA</t>
  </si>
  <si>
    <t>JORGE EDUARDO GARCIA FELIX</t>
  </si>
  <si>
    <t>JORGE EDUARDO GARCIA SOTO</t>
  </si>
  <si>
    <t>PAULINA ALEJANDRA FELIX PRECIADO</t>
  </si>
  <si>
    <t>PEDRO IVAN ACUÑA ZEPEDA</t>
  </si>
  <si>
    <t xml:space="preserve">KAROL AZUL CORONEL CERON </t>
  </si>
  <si>
    <t>JESUS MARIO CORONEL FALCON</t>
  </si>
  <si>
    <t>CARMEN JANETH CERON MORENO</t>
  </si>
  <si>
    <t xml:space="preserve">MACRINA LOPEZ SOTO </t>
  </si>
  <si>
    <t>KARYME GUADALUPE GARCIA AVILES</t>
  </si>
  <si>
    <t>FRANCISCO JAVIER GARCIA BARAJAS</t>
  </si>
  <si>
    <t>DIANA GABRIELA AVILES ALVAREZ</t>
  </si>
  <si>
    <t>BERNARDO FLORES TOLEDO</t>
  </si>
  <si>
    <t xml:space="preserve">ROSARIO TARRILLO DIAZ </t>
  </si>
  <si>
    <t>MARIA JOSE MENDIVIL GALINDO</t>
  </si>
  <si>
    <t>KARLA IRENE RASCON QUINTANA</t>
  </si>
  <si>
    <t>MARIO ADRIAN VILLARREAL ESPINOZA</t>
  </si>
  <si>
    <t>YOLANDA ESPINOZA CASILLAS</t>
  </si>
  <si>
    <t xml:space="preserve">MARIO HERNAN VILLARREAL HERNANDEZ </t>
  </si>
  <si>
    <t>JESUS ADRIANA ESPINOZA CASILLAS</t>
  </si>
  <si>
    <t>MAYLEN DURAN RAMOS</t>
  </si>
  <si>
    <t>ELIZABETH RAMOS BARRERAS</t>
  </si>
  <si>
    <t>NICOLE ADILENE MORENO DURAN</t>
  </si>
  <si>
    <t>JESUS MORENO OVIEDO</t>
  </si>
  <si>
    <t>OLIVIA ALEJANDRA DURAN MOLINA</t>
  </si>
  <si>
    <t>GRECIA GUADALUPE MARIÑEZ DUARTE</t>
  </si>
  <si>
    <t>SANTIAGO EMANUEL MORALES LEON</t>
  </si>
  <si>
    <t>SAMUEL EDGARDO MORALES QUINTERO</t>
  </si>
  <si>
    <t>ELSA HAYDEE LEON MALDONADO</t>
  </si>
  <si>
    <t>ALMA GRACIELA LEON MALDONADO</t>
  </si>
  <si>
    <t>SANTIAGO VALDEZ ARVIZU</t>
  </si>
  <si>
    <t>RODOLFO VALDEZ IBARRA</t>
  </si>
  <si>
    <t>CARMEN AIDA ARVIZU ROMERO</t>
  </si>
  <si>
    <t>MARTHA EDUVIGES ARVIZU ROMERO</t>
  </si>
  <si>
    <t>SEBASTIAN VALDEZ RAMIREZ</t>
  </si>
  <si>
    <t>FLOR DE AZALIA VALDEZ RAMIREZ</t>
  </si>
  <si>
    <t>OCTAVIO VALDEZ RAMIREZ</t>
  </si>
  <si>
    <t>VALENTINA BADILLA TRUJILLO</t>
  </si>
  <si>
    <t>ROBERTO BADILLA MORENO</t>
  </si>
  <si>
    <t>ROSA AMELIA TRUJILLO RASCON</t>
  </si>
  <si>
    <t>JOSE LUIS ARMIENTA VALENZUELA</t>
  </si>
  <si>
    <t>OLGA LIDIA GUERRERO SOLIS</t>
  </si>
  <si>
    <t>MARIALEJANDRA FLORES TARRILLO</t>
  </si>
  <si>
    <t>MARTHA CELIA VELASQUEZ LOPEZ</t>
  </si>
  <si>
    <t>FERNANDO FRANCISCO MENDIVIL RAMIREZ</t>
  </si>
  <si>
    <t>IMELDA SANCHEZ RASCON</t>
  </si>
  <si>
    <t xml:space="preserve"> ROBERTO ARTURO AHUMADA FOX Y  ANA LILIA ISLAS HERRERA</t>
  </si>
  <si>
    <t>RENATA AYDEE RUBIO SOLIS</t>
  </si>
  <si>
    <t>MARTIN ALBERTO RUBIO VALENZUELA</t>
  </si>
  <si>
    <t>DOLORES MARGARITA SOLIS FLORES</t>
  </si>
  <si>
    <t>EDGAR DANIEL BANDA HERRERA</t>
  </si>
  <si>
    <t>EMMA CZARINA BRAVO LOPEZ</t>
  </si>
  <si>
    <t>PBRO. GERARDO CAMACHO PONCE</t>
  </si>
  <si>
    <t>PBRO. ANDRES GADALUPE SALAZAR ANGULO</t>
  </si>
  <si>
    <t>AXEL ALAN PAYAN VILLEGAS</t>
  </si>
  <si>
    <t>ELIZABETH VILLEGAS FLORES</t>
  </si>
  <si>
    <t>NORMA ALICIA BANDA JECARI</t>
  </si>
  <si>
    <t xml:space="preserve">BRANDON ROGELIO GONZALEZ GARCIA </t>
  </si>
  <si>
    <t>ROGELIO GONZALEZ VILLANUEVA</t>
  </si>
  <si>
    <t>CLAUDIA VERENICE GARCIA LUNA</t>
  </si>
  <si>
    <t>ANGEL ELIAN VILLARREAL OSUNA</t>
  </si>
  <si>
    <t>DANNIA GUADALUPE AGUIRRE LOPEZ</t>
  </si>
  <si>
    <t>DIANA LUCIA GARDUÑO GARFIAS</t>
  </si>
  <si>
    <t>JOSE LUIS GARDUÑO REYES</t>
  </si>
  <si>
    <t>MARIA GUADALUPE GARFIAS MEDINA</t>
  </si>
  <si>
    <t>JEPSE AZUCENA BUSTAMANTE DORADO</t>
  </si>
  <si>
    <t xml:space="preserve">JESUS GUADALUPE BUSTAMANTE RAMOS </t>
  </si>
  <si>
    <t>CLAUDIA AVILENE  RAMOS LUNA</t>
  </si>
  <si>
    <t>MARIA DOLORES GARDUÑO REYES</t>
  </si>
  <si>
    <t>JOSE ROBERTO GARDUÑO GARFIAS</t>
  </si>
  <si>
    <t>ISMAEL GARDUÑO VACA</t>
  </si>
  <si>
    <t>KARIME ALEJANDRA ALCARAZ CALDERA</t>
  </si>
  <si>
    <t>RENE AMADOR ALCARAZ CANIZALEZ</t>
  </si>
  <si>
    <t>RITHA ICELA CALDERA GODINA</t>
  </si>
  <si>
    <t>FRANCISCA YANETH GARCIA MEZA</t>
  </si>
  <si>
    <t>LIZBETH ALEXA PAYAN VILLEGAS</t>
  </si>
  <si>
    <t>JESUS RUBIO OSORIO</t>
  </si>
  <si>
    <t>MARIA VANESA MAYBOCA GOMEZ</t>
  </si>
  <si>
    <t>MARTIN RICARDO MAYBOCA M.</t>
  </si>
  <si>
    <t>MARIA ELSA GOMEZ FELIX</t>
  </si>
  <si>
    <t>NINFA GOMEZ FELIX</t>
  </si>
  <si>
    <t xml:space="preserve">MIRIAM ESTRELLA GARDUÑO VACA </t>
  </si>
  <si>
    <t xml:space="preserve">OLIVIA GARDUÑO VACA </t>
  </si>
  <si>
    <t xml:space="preserve">MARIA DEL CARMEN REYES SANTANA </t>
  </si>
  <si>
    <t xml:space="preserve">NAHOMI YANDERLI GONZALEZ GARCIA </t>
  </si>
  <si>
    <t>MIRIAM DENISS ANAYA ENRIQUEZ</t>
  </si>
  <si>
    <t>MANUEL ELHIERAMAN MORALES CHAVEZ</t>
  </si>
  <si>
    <t>HANSEL MATEO MARTINEZ MARTINEZ</t>
  </si>
  <si>
    <t>HANSEL EFRAIN MARTINEZ LLAMAS</t>
  </si>
  <si>
    <t>MARIA ISABEL MARTINEZ VALENCIA</t>
  </si>
  <si>
    <t xml:space="preserve">JULIO </t>
  </si>
  <si>
    <t>MANUEL ENRIQUE BUJANDA QUIJADA</t>
  </si>
  <si>
    <t>REYNA JULIETA FELIX ORTIZ</t>
  </si>
  <si>
    <t>HUGO ALEJANDRO RUIZ FIMBRES</t>
  </si>
  <si>
    <t xml:space="preserve">ENERO </t>
  </si>
  <si>
    <t>HUGO ERNESTO RUIZ DIAZ</t>
  </si>
  <si>
    <t>ALEJANDRA FIMBRES DURAZO</t>
  </si>
  <si>
    <t>ZULEMA AUXILIADORA CARRIZOZA MEDINA</t>
  </si>
  <si>
    <t>LILIANA ANDALON MARTINEZ</t>
  </si>
  <si>
    <t>DAGOBERTO FIMBRES DURAZO</t>
  </si>
  <si>
    <t>ADARIT NUÑEZ CAMACHO</t>
  </si>
  <si>
    <t>JAZIEL ISLAS DIAZ</t>
  </si>
  <si>
    <t>SALTLAKE CITY UTAH</t>
  </si>
  <si>
    <t>JUAN ISLAS RESENDIZ</t>
  </si>
  <si>
    <t xml:space="preserve">ERNESTO DIAZ MARTINEZ </t>
  </si>
  <si>
    <t>EMMA GLORIA CASTRO LIZARRAGA</t>
  </si>
  <si>
    <t xml:space="preserve">JOSSELYN ALAYNNA HERMOSILLO RODRIGUEZ </t>
  </si>
  <si>
    <t>JOSE RAMON HERMOSILLO ARVIZU</t>
  </si>
  <si>
    <t>ZULMA GUADALUPE RODRIGUEZ LOPEZ</t>
  </si>
  <si>
    <t>JOSE AMADOR MERCADO IBARRA</t>
  </si>
  <si>
    <t>CAMILA SARAHY OSUNA RODRIGUEZ</t>
  </si>
  <si>
    <t>JOSE JAIME QUEZADA ARROYO</t>
  </si>
  <si>
    <t>LEOBARDO GERMAN CASTRO</t>
  </si>
  <si>
    <t>LEOBARDO GERMAN</t>
  </si>
  <si>
    <t>TELMA MAGDALENA CASTRO</t>
  </si>
  <si>
    <t>CRUZ MARINA DELGADO MEDRANO</t>
  </si>
  <si>
    <t>CEDE PARROQUIA NSPAZ</t>
  </si>
  <si>
    <t>AITANA VALENTINA CASTILLO ORANTES</t>
  </si>
  <si>
    <t>CARLOS ARTURO CASTILLO MOLINA</t>
  </si>
  <si>
    <t>CLAUDIA  ANGELICA ORANTES ROMO</t>
  </si>
  <si>
    <t>JESUS FRANCISCO ROMO LOZANO</t>
  </si>
  <si>
    <t>ROSARIO ISABEL ESTRADA ZARATE</t>
  </si>
  <si>
    <t>AINARA VICTORIA CASTILLO ORANTES</t>
  </si>
  <si>
    <t>FRANCISCO JAVIER ROMO CAMPAÑA</t>
  </si>
  <si>
    <t>TRINIDAD DEL SOCORRO ROMO CAMPAÑA</t>
  </si>
  <si>
    <t>PBRO. JOSE RODOLFO GARZA LOUSTAUNAU</t>
  </si>
  <si>
    <t>FELIX ROMARIO MEDINA AGUIRRE</t>
  </si>
  <si>
    <t>AMERICA ARTEMISA SOTO CEBALLOS</t>
  </si>
  <si>
    <t>OSCAR FRANCISCO SOTO GOMEZ</t>
  </si>
  <si>
    <t>RAUL RUBEN ROMERO LOPEZ</t>
  </si>
  <si>
    <t>BEATRIZ ELENA ARMENTA HERNANDEZ</t>
  </si>
  <si>
    <t>FRANCISCA ZULYN CEBALLOS MONGE</t>
  </si>
  <si>
    <t xml:space="preserve">VICTOR MANUEL E ISABEL </t>
  </si>
  <si>
    <t>YADYRA DIAZ</t>
  </si>
  <si>
    <t>MELANY ATHZIRI BETANCOURT VILLALOBOS</t>
  </si>
  <si>
    <t>SEPTIEMBRE</t>
  </si>
  <si>
    <t>CESAR ZAID CHUFFE BRITO</t>
  </si>
  <si>
    <t>FAUSTINO DE JESUS CHAIDEZ BELTRAN</t>
  </si>
  <si>
    <t>JIMENA ISABEL BETANCOURT VILLALOBOS</t>
  </si>
  <si>
    <t>MARGARITA VELAZQUEZ ALFARO</t>
  </si>
  <si>
    <t>SOFIA ISABELLA GONZALEZ LIZARRAGA</t>
  </si>
  <si>
    <t>JULIAN GONZALEZ TALAMANTE</t>
  </si>
  <si>
    <t>MIGUEL MENDEZ ROBLEDO</t>
  </si>
  <si>
    <t>MARIA ELENA GONZALEZ TALAMANTE</t>
  </si>
  <si>
    <t>DINA GESANA LIZARRAGA GASTELUM</t>
  </si>
  <si>
    <t>EYTHAN ARMANDO VALLEJO HOYOS</t>
  </si>
  <si>
    <t>CARLOS ARTURO VALLEJO CASTILLO</t>
  </si>
  <si>
    <t>ROCIO CAROLINA HOYOS ZAMBRANO</t>
  </si>
  <si>
    <t>JULIAN GRIJALBA LUGO</t>
  </si>
  <si>
    <t>MARIA DEL CARMEN ZAZUETA ZAMBRANO</t>
  </si>
  <si>
    <t>VALERIA LOPEZ BALLESTEROS</t>
  </si>
  <si>
    <t>CORAL SPRING, FLORIDA</t>
  </si>
  <si>
    <t>JESUS ALBERTO LOPEZ CARO</t>
  </si>
  <si>
    <t>FABIOLA BALLESTEROS MORALES</t>
  </si>
  <si>
    <t>JOSE LUIS ALDECOA VAZQUEZ</t>
  </si>
  <si>
    <t>NIDIA KARINA LOPEZ ESPINOZA</t>
  </si>
  <si>
    <t>MARIA ISABEL ORTIZ LOPEZ</t>
  </si>
  <si>
    <t>ERICK ADRIAN ORTIZ FIMBRES</t>
  </si>
  <si>
    <t>DIANA LIZET LOPEZ ESPINOZA</t>
  </si>
  <si>
    <t>FABIOLA BALLESTEROS MORALE</t>
  </si>
  <si>
    <t>JOEL ALONSO ALDAY MUNGUIA</t>
  </si>
  <si>
    <t xml:space="preserve">FRANCISCO ALONSO ALDAY HERNANDEZ </t>
  </si>
  <si>
    <t>GEOVVANA GUADALUPE MUNGUIA LEYVA</t>
  </si>
  <si>
    <t>DANIEL JOEL MUNGUIA LEYVA</t>
  </si>
  <si>
    <t>YOANCA YECAROMA ROSALES MUNGUIA</t>
  </si>
  <si>
    <t>ARGELIA ROMINA RODRIGUEZ GOMEZ</t>
  </si>
  <si>
    <t>RODRIGO ANTONIO RODRIGUEZ JACQUES</t>
  </si>
  <si>
    <t>KASSANDRA GUADALUPE GOMEZ VILLA</t>
  </si>
  <si>
    <t>BRIANA JOALI GODINEZ CHAVEZ</t>
  </si>
  <si>
    <t>JOSE GODINEZ BIRRUETA</t>
  </si>
  <si>
    <t>ALONDRA JASMIN CHAVEZ HERRERA</t>
  </si>
  <si>
    <t>MARIA ELENA GODINES BIRRUETA</t>
  </si>
  <si>
    <t>EDGAR FONTES ANDRADE</t>
  </si>
  <si>
    <t>EDGAR JOSE FONTES CAMACHO</t>
  </si>
  <si>
    <t>GUADALUPE CONCEPCION ANDRADE ROMERO</t>
  </si>
  <si>
    <t>JOSE ANTONIO ANDRADE ROMERO</t>
  </si>
  <si>
    <t>ANABEL VANESA GUERRERO CASTRO</t>
  </si>
  <si>
    <t>LUIS ANTONIO CARBALLAR HERNANDEZ</t>
  </si>
  <si>
    <t>LA UNION DE ISIDORO MONTES DE OCA, GUERRERO</t>
  </si>
  <si>
    <t>EMMA CAMILA CHAVEZ SALAS</t>
  </si>
  <si>
    <t>JORGE ANTONIO CHAVEZ LOPEZ</t>
  </si>
  <si>
    <t>JOSE LUIS SALAS NAVARRO</t>
  </si>
  <si>
    <t>SANDRA PAULINA MEZA NAVARRO</t>
  </si>
  <si>
    <t>BRIANDA SALAS NAVARRO</t>
  </si>
  <si>
    <t>MANUEL GONZALO Y MARIA VERONICA</t>
  </si>
  <si>
    <r>
      <t>BRYAN ALEXIS BOURGOIN GRAJEDA</t>
    </r>
    <r>
      <rPr>
        <b/>
        <sz val="12"/>
        <rFont val="Calibri"/>
        <family val="2"/>
      </rPr>
      <t xml:space="preserve">                  </t>
    </r>
  </si>
  <si>
    <t>MANUEL GONZALO BOURGOIN GRAJEDA</t>
  </si>
  <si>
    <t>ARATH ADAL BOURGOIN GRAJEDA</t>
  </si>
  <si>
    <t>SEGIO ENRIQUE CASTAÑEDA GUERRERO</t>
  </si>
  <si>
    <t>JOSE ANGEL GUERRERO ALVAREZ</t>
  </si>
  <si>
    <t xml:space="preserve">ALEJANDRA BUZANI ESPARZA </t>
  </si>
  <si>
    <t>DIEGO ENRIQUE FRANCO JASSO</t>
  </si>
  <si>
    <t>GUADALUPE MARTIN Y RAFAELA</t>
  </si>
  <si>
    <t>MARGARITA PINELA CASTAÑEDA</t>
  </si>
  <si>
    <t>ERICK BENJAMIN DOMINGUEZ DUARTE</t>
  </si>
  <si>
    <t xml:space="preserve">SARAH MARIA ESQUER FIMBRES </t>
  </si>
  <si>
    <t xml:space="preserve">ARNOLDO ESQUER ZUÑIGA </t>
  </si>
  <si>
    <t>KARLA CECILIA FIMBRES NUÑEZ</t>
  </si>
  <si>
    <t>EDNA MELISA ESQUER ZUÑIGA</t>
  </si>
  <si>
    <t xml:space="preserve">MARCELA SUGHEY DELGADILLO GUILLEN </t>
  </si>
  <si>
    <t>ELLA VICTORIA VERA MONTIJO</t>
  </si>
  <si>
    <t>GONZALO ROBERTO NEBUY GALLEGOS</t>
  </si>
  <si>
    <t>DANIELA VERA MONTIJO</t>
  </si>
  <si>
    <t>SHANYA BENEY VERA  MONTIJO</t>
  </si>
  <si>
    <t>FRANCISCO ENRIQUE Y DANIELA ALEJANDRA</t>
  </si>
  <si>
    <t>PBRO. CARLOS SANTIAGO ROBLES URREA</t>
  </si>
  <si>
    <t>RAMIRO GERMAN GANDARILLA</t>
  </si>
  <si>
    <t>VERONICA MONGUEL LOPEZ</t>
  </si>
  <si>
    <t>OSCAR ARMANDO MUNGUIA ALCALA</t>
  </si>
  <si>
    <t>LAURA MARTINEZ VALENZUELA</t>
  </si>
  <si>
    <t xml:space="preserve">PBRO. GERARDO CAMACHO </t>
  </si>
  <si>
    <t>BLANCA JULIETA VENTURA DUARTE</t>
  </si>
  <si>
    <t>CARLOS JAVIER VENTURA ONTIVEROS</t>
  </si>
  <si>
    <t>CINTIA YADIRA DUARTE SALAZAR</t>
  </si>
  <si>
    <t>RODRIGO MINJARES OCHOA</t>
  </si>
  <si>
    <t>MARIA JOSE YEPIZ AGUILAR</t>
  </si>
  <si>
    <t>BERNARDO TADEO MONTENEGRO ACUÑA</t>
  </si>
  <si>
    <t>BERNARDO DAGOBERTO MONTENEGRO JAIME</t>
  </si>
  <si>
    <t>JESUS MANUEL GUTIERREZ SAMORANO</t>
  </si>
  <si>
    <t>CECILIA GUADALUPE AMPARANO ACUÑA</t>
  </si>
  <si>
    <t>ISABELLA SOTO RIVERA</t>
  </si>
  <si>
    <t>CESAR ALEJANDRO SOTO LOPEZ</t>
  </si>
  <si>
    <t>GABRIELA RIVERA ORNELAS</t>
  </si>
  <si>
    <t>LUIS CARLOS ORTIZ ORNELAS</t>
  </si>
  <si>
    <t>JOSEFINA ORNELAS GARCIA</t>
  </si>
  <si>
    <t>JENNIFER GPE. ACUÑA SIERRAS</t>
  </si>
  <si>
    <t>GAEL ERNESTO SOTO ELIAS</t>
  </si>
  <si>
    <t>MARIANA ALEJANDRA SOTO ELIAS</t>
  </si>
  <si>
    <t>JULIO CESAR SOTO ELIAS</t>
  </si>
  <si>
    <t>PALOMA MERCEDES SOTO ELIAS</t>
  </si>
  <si>
    <t xml:space="preserve">         ===============</t>
  </si>
  <si>
    <t>SANTIAGO IGNACIO VALENZUELA SALCIDO</t>
  </si>
  <si>
    <t>DAVID IGNACIO VALENZUELA DOMINGUEZ</t>
  </si>
  <si>
    <t>GABRIELA BELEM SALCIDO RUIZ</t>
  </si>
  <si>
    <t>JUAN PABLO PRECIADO SALCIDO</t>
  </si>
  <si>
    <t>KARLA IVONNE SALCIDO RUIZ</t>
  </si>
  <si>
    <t>CERTIFICADO DE PRIMERA COMUNION 2023</t>
  </si>
  <si>
    <t>JESUS EL SEÑOR -  CARMEN CONTRERAS -  26 DE MAYO</t>
  </si>
  <si>
    <r>
      <t xml:space="preserve">SAN PIO </t>
    </r>
    <r>
      <rPr>
        <sz val="14"/>
        <rFont val="Arial"/>
        <family val="2"/>
      </rPr>
      <t xml:space="preserve">- </t>
    </r>
    <r>
      <rPr>
        <b/>
        <sz val="14"/>
        <rFont val="Arial"/>
        <family val="2"/>
      </rPr>
      <t xml:space="preserve"> ICELA CALDERA - 13 DE MAYO</t>
    </r>
  </si>
  <si>
    <r>
      <t>NSPAZ</t>
    </r>
    <r>
      <rPr>
        <sz val="14"/>
        <rFont val="Arial"/>
        <family val="2"/>
      </rPr>
      <t xml:space="preserve"> - </t>
    </r>
    <r>
      <rPr>
        <b/>
        <sz val="14"/>
        <rFont val="Arial"/>
        <family val="2"/>
      </rPr>
      <t>ROCIO MIRANDA Y MARCIA IVONNE - 3 DE JUNIO</t>
    </r>
  </si>
  <si>
    <t>NSPAZ - MARTHA MIRANDA - 2 DE JUNIO</t>
  </si>
  <si>
    <t>NSPAZ - VANESSA PATRICIA BLANCARTE - 10 DE JUNIO</t>
  </si>
  <si>
    <t>NSPAZ - BRENDA JIMENEZ - 3 DE JUNIO</t>
  </si>
  <si>
    <t>NSPAZ - BRENDA LOYA Y FERNANDA MEZA - 10 DE JUNIO</t>
  </si>
  <si>
    <t>NSPAZ - ZULEMA - 9 DE JUNIO</t>
  </si>
  <si>
    <t xml:space="preserve">NSPAZ - ALMA DELIA - 2 DE JUNIO </t>
  </si>
  <si>
    <t>ESPECIL</t>
  </si>
  <si>
    <t>ANA CECILIA PARTIDA CUELLAR</t>
  </si>
  <si>
    <t>JOSE ANGEL PARTIDA RANGEL</t>
  </si>
  <si>
    <t>ANDREA STEPHNEE CUELLAR SALAS</t>
  </si>
  <si>
    <t>DIEGO DE JESUS CUELLAR SALAS</t>
  </si>
  <si>
    <t>ANA SARAHI PARTIDA RANGEL</t>
  </si>
  <si>
    <t>CARLOS DANIEL SANCHEZ GOMEZ</t>
  </si>
  <si>
    <t>DANIEL SANCHEZ DORAME</t>
  </si>
  <si>
    <t>MIGUEL ANGEL GOMEZ LIMA</t>
  </si>
  <si>
    <t>LUCIA GUADALUPE DORAME BUERAS</t>
  </si>
  <si>
    <t>ANA  CRISTINA GOMEZ LIMA</t>
  </si>
  <si>
    <t>AMBAR RENEE BRINGAS CHAVEZ</t>
  </si>
  <si>
    <t>IVAN BRINGAS SILVESTRE</t>
  </si>
  <si>
    <t>GUADALUPE EDUWVIGES CHAVEZ MIRANDA</t>
  </si>
  <si>
    <t>MARIO SILVESTRE LOPEZ</t>
  </si>
  <si>
    <t>AIDA ELENA VALENZUELA MENDIVIL</t>
  </si>
  <si>
    <t>MARCELO ALEJANDRO MARQUEZ ESCOBAR</t>
  </si>
  <si>
    <t>MARION ALBERTO MARQUEZ SUAREZ</t>
  </si>
  <si>
    <t>MARIA FERNANDA ESCOBAR MONGE</t>
  </si>
  <si>
    <t>ALBERTO ESCOBAR MONGE</t>
  </si>
  <si>
    <t>GREICE JULIETA BASS OROPEZA</t>
  </si>
  <si>
    <t>ALISSON VILLANUEVA RAMOS</t>
  </si>
  <si>
    <t>DORIAN VILLANUEVA MONROY</t>
  </si>
  <si>
    <t>ALEJANDRA RAMOS PLASCENCIA</t>
  </si>
  <si>
    <t>MOISES LEONARDO RAMOS PASCENCIA</t>
  </si>
  <si>
    <t>ALICIA RAMOS PLASCENCIA</t>
  </si>
  <si>
    <t>BENJAMIN MATEO SANTACRUZ HERNANDEZ</t>
  </si>
  <si>
    <t>BENJAMIN SANTACRUZ HERRERA</t>
  </si>
  <si>
    <t>TANIA GUADALUPE HERNANDEZ MALAVIAR</t>
  </si>
  <si>
    <t>RICARDO ALEJANDRO OSUNA BUSTAMANTE</t>
  </si>
  <si>
    <t>MIRIAM SUGGEY ARVIZU HERNANDEZ</t>
  </si>
  <si>
    <t>VALENTIN MONREAL SOLORZANO</t>
  </si>
  <si>
    <t>RODOLFO MONREAL CIRLOS</t>
  </si>
  <si>
    <t>SILVIA GUADALUPE SOLORZANO MONGE</t>
  </si>
  <si>
    <t>MARIA DEL CARMEN MIRANDA VERDUGO</t>
  </si>
  <si>
    <t xml:space="preserve">JORDAN ANTONIO CORDOVA ZEPEDA </t>
  </si>
  <si>
    <t>EDUARDO ANTONIO CORDOVA GOMEZ</t>
  </si>
  <si>
    <t xml:space="preserve">LLUVIA ARIANA ZOEY ZEPEDA SALINAS </t>
  </si>
  <si>
    <t>ALMA DOLORES FERNANDEZ DUARTE</t>
  </si>
  <si>
    <t xml:space="preserve">HECTOR MANUEL FLORES ARMENTA </t>
  </si>
  <si>
    <t xml:space="preserve">RENE ALEXANDER Y ANA LAURA </t>
  </si>
  <si>
    <t>CARLOS OMAR Y DENIA DEL CARMEN</t>
  </si>
  <si>
    <t>FERNANDO FRANCISCO Y EDNA PATRICIA</t>
  </si>
  <si>
    <t>RAFAEL EDUARDO MENDIVIL RAMIREZ</t>
  </si>
  <si>
    <t>ROSARIO BUELNA MENDIVIL</t>
  </si>
  <si>
    <t xml:space="preserve">HERIBERTO TAPIA FLORES </t>
  </si>
  <si>
    <t>ANA IRIS GALINDO QUINTANA</t>
  </si>
  <si>
    <t>ELIANY SOFIA MARIN BARRERAS</t>
  </si>
  <si>
    <t xml:space="preserve">RUBEN OMAR MARIN SAINZ </t>
  </si>
  <si>
    <t xml:space="preserve">      ==========================</t>
  </si>
  <si>
    <t>DIANERI LUCERO BARRERAS RIVERA</t>
  </si>
  <si>
    <t>JAVIER HUMBERTO MARIN SAINZ Y SACHENKA GARCIA BURGUEÑO</t>
  </si>
  <si>
    <t>ZAID JOSUE GRIJALVA MORENO Y ANDREA CAROLINA LAGUNA GIANINI</t>
  </si>
  <si>
    <t>FELIPE DE JESUS ALCALA</t>
  </si>
  <si>
    <t>OLGA RIOS MORALES</t>
  </si>
  <si>
    <t>BALDEMAR NORIEGA VASQUEZ</t>
  </si>
  <si>
    <t>ANA ALICIA RUIZ BURREL</t>
  </si>
  <si>
    <t>ANA LUZ COVARRUBIAS FLORES</t>
  </si>
  <si>
    <t>MERCED LOPEZ NAVA</t>
  </si>
  <si>
    <t>KARINA ALBINA CAMARGO TORRES</t>
  </si>
  <si>
    <t>MARIA DE LOS ANGELES TORRES PEREZ</t>
  </si>
  <si>
    <t>Dias</t>
  </si>
  <si>
    <t>Mes</t>
  </si>
  <si>
    <t>CERTIFICADO DE PRIMERA COMUNION 2024</t>
  </si>
  <si>
    <t>CARLOS OMAR ALCALA RIOS</t>
  </si>
  <si>
    <t>IVETH GABRIELA VILLANUEVA FAVA</t>
  </si>
  <si>
    <t>AMAIA ROSALIA ANGULO CORRAL</t>
  </si>
  <si>
    <t>OSCAR ALBERTO ANGULO RAMOS</t>
  </si>
  <si>
    <t>EVA ROSALIA CORRAL DUARTE</t>
  </si>
  <si>
    <t>JAZMIN ADRIANA CORRAL DUARTE</t>
  </si>
  <si>
    <t>AMALIA REGINA VALE LOPEZ</t>
  </si>
  <si>
    <t>RIGOBERTO VALE GUTIERREZ</t>
  </si>
  <si>
    <t>MAURA FRANCISCA LOPEZ LAFARGA</t>
  </si>
  <si>
    <t>ANA RENEE MARTINEZ GONZALEZ</t>
  </si>
  <si>
    <t>JOSE EDMUNDO MARTINEZ CAMARGO</t>
  </si>
  <si>
    <t>ANA CECILIA GONZALEZ CARTAS</t>
  </si>
  <si>
    <t>ADDY GONZALEZ CARTAS</t>
  </si>
  <si>
    <t>CELESTE ANAILY ROMERO GOMEZ</t>
  </si>
  <si>
    <t>CHRISTIAN ROMERO RUIZ</t>
  </si>
  <si>
    <t>LINDA ISABEL SOTO GARCIA</t>
  </si>
  <si>
    <t>DIEGO MADRID HUERTA</t>
  </si>
  <si>
    <t>DORA ALYSA ORTIZ MARTINEZ</t>
  </si>
  <si>
    <t>DORIAN GUZMAN FRANCO</t>
  </si>
  <si>
    <t>IRMA JANNETTE HUERTA ROMO</t>
  </si>
  <si>
    <t xml:space="preserve">RAFAELA BERENICE MADRID GARCIA </t>
  </si>
  <si>
    <t xml:space="preserve">MANUEL JUVENTINO MADRID GARCIA </t>
  </si>
  <si>
    <t>JOSE ANGEL ORTIZ BORQUEZ</t>
  </si>
  <si>
    <t>DORA ELBA MARTINEZ PAVON</t>
  </si>
  <si>
    <t>JESUS ANTONIO GUZMAN ALEGRIA</t>
  </si>
  <si>
    <t>CELENE PATRICIA FRANCO PALACIOS</t>
  </si>
  <si>
    <t>MARIA DEL CARMEN FRANCO PALACIOS</t>
  </si>
  <si>
    <t>EMMA FELIX TAURIAN</t>
  </si>
  <si>
    <t>CARLOS GUILLERMO FELIX POMPA</t>
  </si>
  <si>
    <t>CLAUDIA DOLORES TAURIAN MONTAÑO</t>
  </si>
  <si>
    <t xml:space="preserve">BLANCA JANNETTE TAURIAN MONTAÑO </t>
  </si>
  <si>
    <t>ERIKA ZOE AMADOR NAVARRO</t>
  </si>
  <si>
    <t>ERIK ALFONSO AMADOR PORTELA</t>
  </si>
  <si>
    <t>HEIDI ESTHER NAVARRO GUTIERREZ</t>
  </si>
  <si>
    <t>GRECIA LILIAN JUVERA NAVARRO</t>
  </si>
  <si>
    <t>ESTEFANIA PESQUEIRA ALVAREZ</t>
  </si>
  <si>
    <t>EDUARDO PESQUEIRA PESQUEIRA</t>
  </si>
  <si>
    <t>LIZDEBETH ALVAREZ GONZALEZ</t>
  </si>
  <si>
    <t>LUZ AIDA IBARRA BURGOS</t>
  </si>
  <si>
    <t>ISABELLA JANETTE LOPEZ PARRA</t>
  </si>
  <si>
    <t>SILVIA JANETTE PARRA HERNANDEZ</t>
  </si>
  <si>
    <t>MIA GWENDOLYNE LOPEZ GORTAREZ</t>
  </si>
  <si>
    <t>JOSE EDGAR RAMIREZ PAZ</t>
  </si>
  <si>
    <t>JOSE EDGAR RAMIREZ PEREZ</t>
  </si>
  <si>
    <t>MARIA CECILIA PAZ GAUTRIN</t>
  </si>
  <si>
    <t>DANIEL ANDRES PAZ GAUTRIN</t>
  </si>
  <si>
    <t>LEOPOLDO ESCUDERO RODRIGUEZ</t>
  </si>
  <si>
    <t>SERGIO ANTONIO ESCUDERO LUNA</t>
  </si>
  <si>
    <t xml:space="preserve">EUGENIA RODRIGUEZ VELASCO </t>
  </si>
  <si>
    <t>VERONICA GUADALUPE ESCUDERO LUNA</t>
  </si>
  <si>
    <t>LIANA DANAE CARBALLAR GODINES</t>
  </si>
  <si>
    <t>MARTHA ISABELLA MORALES MALDONADO</t>
  </si>
  <si>
    <t>PEDRO MORALES LOPEZ</t>
  </si>
  <si>
    <t>MARIA EUGENIA MALDONADO DE LOS REYES</t>
  </si>
  <si>
    <t>MARIA TERESA MACIAS RENTERIA</t>
  </si>
  <si>
    <t>MONSERRAT LOPEZ SANDOVAL</t>
  </si>
  <si>
    <t>EMMANUEL ISSAC LOPEZ AGUIRRE</t>
  </si>
  <si>
    <t>MARISOL SANDOVAL MURRIETA</t>
  </si>
  <si>
    <t>LESLI JOHANA CONTRERAS SANDOVAL</t>
  </si>
  <si>
    <t>MYA ANGIE ARIAS AMPARANO</t>
  </si>
  <si>
    <t>JOSE ANGEL ARIAS CASTRO</t>
  </si>
  <si>
    <t>DENIA AMPARANO CAMPOY</t>
  </si>
  <si>
    <t>DULCE MARIA HERRERA BAUMEA</t>
  </si>
  <si>
    <t>NECKER ADAN NAVARRO ROBLES</t>
  </si>
  <si>
    <t>CESAR ANIBAL NAVARRO SILVA</t>
  </si>
  <si>
    <t>MARIA CRISTINA ROBLES MARQUEZ</t>
  </si>
  <si>
    <t>MANUELA MARQUEZ GARCIA</t>
  </si>
  <si>
    <t>OMAR EDUARDO GUTIERREZ GONZALEZ</t>
  </si>
  <si>
    <t>IVAN GUTIERREZ ONTIVEROS</t>
  </si>
  <si>
    <t>GUADALUPE DEL CARMEN GONZALEZ MONROY</t>
  </si>
  <si>
    <t>IVAN ANTONIO GUTIERREZ GONZALEZ</t>
  </si>
  <si>
    <t xml:space="preserve">OSCAR ANTONIO CORDOVA ROCHA </t>
  </si>
  <si>
    <t>PATRICIO BADILLO DE ACHA</t>
  </si>
  <si>
    <t>JUAN MANUEL BADILLO SAINZ</t>
  </si>
  <si>
    <t>OFELIA XIMENA DE ACHA LANDAVAZO</t>
  </si>
  <si>
    <t>ANA KAREN VAZQUEZ ABRIL</t>
  </si>
  <si>
    <t>RENATA FIMBRES CAMPA</t>
  </si>
  <si>
    <t>PLACIDO FRANCISCO FIMBRES VILLAESCUSA</t>
  </si>
  <si>
    <t>JEIRA CAMPA ROBLES</t>
  </si>
  <si>
    <t>ANA AVIGAIL FIMBRES VILLAESCUSA</t>
  </si>
  <si>
    <t>VICTORIA GALVEZ ARBALLO</t>
  </si>
  <si>
    <t>ALVARO GALVEZ RONGEL</t>
  </si>
  <si>
    <t>ALEJANDRA ARBALLO CASTILLO</t>
  </si>
  <si>
    <t>YAHAIRA IRASEMA AZTORGA ORNELAS</t>
  </si>
  <si>
    <t xml:space="preserve">YIREHNISI NAOMI CORDOVA VALENZUELA </t>
  </si>
  <si>
    <t>JOSE LUIS CORDOVA LOPEZ</t>
  </si>
  <si>
    <t>JOSELIM GUADALUPE VALENZUELA CARLOS</t>
  </si>
  <si>
    <t>MONICA CASTILLO MARTINEZ</t>
  </si>
  <si>
    <t>ZOE SELEGNA ARVAYO OJEDA</t>
  </si>
  <si>
    <t>DAVID REY ARVAYO CARRILLO</t>
  </si>
  <si>
    <t>AIRAM SELEGNA OJEDA GUTIERREZ</t>
  </si>
  <si>
    <t>MARGARITA ARVAYO CARRILLO</t>
  </si>
  <si>
    <t>YLIANA CELESTE GOMEZ SAENZ</t>
  </si>
  <si>
    <t>DANIEL ALBERTO LOPEZ GORTAREZ</t>
  </si>
  <si>
    <t>JUDITH LORENIA CORDOVA FELIX</t>
  </si>
  <si>
    <t>CONCEPCION TREVIÑO VEGA</t>
  </si>
  <si>
    <t>ALEXIA LIZARRAGA ANAYA</t>
  </si>
  <si>
    <t>ALLISON TRINIDAD OSORIO SANCHEZ</t>
  </si>
  <si>
    <t>ALVARO SEBASTIAN GARCIA LOPEZ</t>
  </si>
  <si>
    <t>AMAIRANI VEGA SANCHEZ</t>
  </si>
  <si>
    <t>AXEL JOSUE RETES ROMERO</t>
  </si>
  <si>
    <t>ERICK LEONARDO OVALLE RODRIGUEZ</t>
  </si>
  <si>
    <t>FERNANDA NICOL GASTELUM JUAREZ</t>
  </si>
  <si>
    <t>GAEL ANDRES GUTIERREZ BAJECA</t>
  </si>
  <si>
    <t>HIRAM RIVERA LARRINAGA</t>
  </si>
  <si>
    <t>ISABELLA ELVIRA AVILES JIMENEZ</t>
  </si>
  <si>
    <t xml:space="preserve">KATHERINE LINNET QUINTANA TANORI </t>
  </si>
  <si>
    <t>LIONEL IVAN CAMPILLO VACIO</t>
  </si>
  <si>
    <t>LUISA FERNANDA CAMPOS VAZQUEZ</t>
  </si>
  <si>
    <t>NATALIA TOLANO LOPEZ</t>
  </si>
  <si>
    <t>JESUS EDUARDO LIZARRAGA GUERRERO</t>
  </si>
  <si>
    <t>CELIDA ANAYA CAMARGO</t>
  </si>
  <si>
    <t>JULIO ALFONSO OSORIO URQUIJO</t>
  </si>
  <si>
    <t>AVILENE TRINIDAD SANCHEZ TAPIA</t>
  </si>
  <si>
    <t xml:space="preserve">ALVARO OSWALDO GARCIA ARIAS </t>
  </si>
  <si>
    <t>DENISSE ROCIO LOPEZ DUARTE</t>
  </si>
  <si>
    <t xml:space="preserve">FABIAN HEBERTO VEGA FIGUEROA </t>
  </si>
  <si>
    <t>NATHALIE GENOVEVA SANCHEZ MEDINA</t>
  </si>
  <si>
    <t>RICARDO ANDALON BURREL</t>
  </si>
  <si>
    <t>SAHIRA RUTH VILCHIS</t>
  </si>
  <si>
    <t>ARIES ALBERTO RETES VALDEZ</t>
  </si>
  <si>
    <t>TANIA JOSEFINA ROMERO RUELAS</t>
  </si>
  <si>
    <t xml:space="preserve">VICTOR EDUARDO OVALLE VIERA </t>
  </si>
  <si>
    <t xml:space="preserve">FABIOLA MARIA RODRIGUEZ RUBIO </t>
  </si>
  <si>
    <t>FERNANDO GASTELUM LOPEZ</t>
  </si>
  <si>
    <t>MAYTEE ESMERALDA JUAREZ IBARRA</t>
  </si>
  <si>
    <t>JESUS ALEJANDRO GUTIERREZ GALICIA</t>
  </si>
  <si>
    <t>BETSSY YAZMIN BAJECA ALVARADO</t>
  </si>
  <si>
    <t>SERGIO HIRAM RIVERA MARTINEZ</t>
  </si>
  <si>
    <t xml:space="preserve">FLOR DE GUADALUPE LARRINAGA FIGUEROA </t>
  </si>
  <si>
    <t>ISIDRO AVILES LOBO</t>
  </si>
  <si>
    <t>MAIRA ESMERALDA JIMENEZ LOZANO</t>
  </si>
  <si>
    <t xml:space="preserve">GUILLERMO ABEL QUINTANA RIVERA </t>
  </si>
  <si>
    <t>CYNTHIA GUADALUPE TANORI ROMERO</t>
  </si>
  <si>
    <t>FRANCISCO IVAN CAMPILLO HUANDURRAGA</t>
  </si>
  <si>
    <t>PRISCILA BERENICE VACIO HERNANDEZ</t>
  </si>
  <si>
    <t>LUIS GUILLERMO CAMPOS</t>
  </si>
  <si>
    <t>ERIKA PATRICIA VASQUEZ</t>
  </si>
  <si>
    <t>CARLOS JAVIER TOLANO</t>
  </si>
  <si>
    <t>LUZ AIDA LOPEZ LOPEZ</t>
  </si>
  <si>
    <t xml:space="preserve">SHERLIN ELENA SANCHEZ TAPIA </t>
  </si>
  <si>
    <t>OSCAR EDGAR ARTURO MARIÑEZ DUARTE</t>
  </si>
  <si>
    <t>MARIA ANTONIA DEL SOCORRO MEDINA CARRASCO</t>
  </si>
  <si>
    <t>BRISA MIROSLAVA GARZA URIBE</t>
  </si>
  <si>
    <t xml:space="preserve">ALMA DELIA ROMERO RUELAS </t>
  </si>
  <si>
    <t xml:space="preserve">JAVIER ALONSO ZAVALZA VIERA </t>
  </si>
  <si>
    <t xml:space="preserve">LAURA GUADALUPE ANGULO ZAZUETA </t>
  </si>
  <si>
    <t>IRMA PATRICIA BAJECA ALVARADO</t>
  </si>
  <si>
    <t>MANUEL ANTONIO MENDOZA FIGUEROA</t>
  </si>
  <si>
    <t>DANIA ISABEL GOMEZ CASTRO</t>
  </si>
  <si>
    <t xml:space="preserve">MARIA CANDELARIA ROMERO HERRERA </t>
  </si>
  <si>
    <t>IVAN ALEJANDRO VACIO HERNANDEZ</t>
  </si>
  <si>
    <t>LAURA PATRICIA VIVEROS VASQUEZ</t>
  </si>
  <si>
    <t>GUADALUPE LOPEZ LOPEZ</t>
  </si>
  <si>
    <t>KARINA ENCINAS VELASCO</t>
  </si>
  <si>
    <t>ANGEL RICARDO ANDALON VILCHIS</t>
  </si>
  <si>
    <t>ELIAS GUTIERREZ AVILA</t>
  </si>
  <si>
    <t>TUCSON, ARIZONA</t>
  </si>
  <si>
    <t xml:space="preserve">ARIAN FERNANADO GUTIERREZ CAMPOY </t>
  </si>
  <si>
    <t>ANGELICA AVILA ANGUIS</t>
  </si>
  <si>
    <t>LUIS ANGEL MEZA ROBLES</t>
  </si>
  <si>
    <t>LUIS CARLOS MEZA URQUIJO</t>
  </si>
  <si>
    <t>NUBIA NAILEA ROBLES SESMA</t>
  </si>
  <si>
    <t>LUIS FERNANDO RODRIGUEZ ALVAREZ</t>
  </si>
  <si>
    <t>VICENTE RODRIGUEZ URBINA</t>
  </si>
  <si>
    <t>ADRIANA MARIA ALVAREZ FELIX</t>
  </si>
  <si>
    <t>ALMA REBECA AGUILAR GOMEZ</t>
  </si>
  <si>
    <t>NADIA YAEKO AGUILAR GOMEZ</t>
  </si>
  <si>
    <t>MARTHA ALEXIA VELARDE GRANIEL</t>
  </si>
  <si>
    <t>JESUS MANUEL VALENZUELA SOTO</t>
  </si>
  <si>
    <t>FERNANDO VALENZUELA AMAYA</t>
  </si>
  <si>
    <t xml:space="preserve">KARLA ZARINA SOTO CAMARGO </t>
  </si>
  <si>
    <t>RAFAEL IVAN RIVAS JIMENEZ</t>
  </si>
  <si>
    <t>EMILIANO MATUZ ABARCA</t>
  </si>
  <si>
    <t xml:space="preserve">JESUS MATUZ VERDUGO </t>
  </si>
  <si>
    <t>LIDIA ISABEL ABARCA LUNA</t>
  </si>
  <si>
    <t>MANUELA MATUS VERDUGO</t>
  </si>
  <si>
    <t>MIGUEL RUBEN VASQUEZ VALENZUELA</t>
  </si>
  <si>
    <t>MIGUEL DARIO VASQUEZ ARELLANO</t>
  </si>
  <si>
    <t>FRANCISCA JANETH VALENZUELA</t>
  </si>
  <si>
    <t>ALEXIS RENE DIAZ OCHOA</t>
  </si>
  <si>
    <t>ELENA GUADALUPE TREJO LARA</t>
  </si>
  <si>
    <t>FRANCISCO HERNAN TREJO FELIX</t>
  </si>
  <si>
    <t>MARTHA ELENA LARA MIRANDA</t>
  </si>
  <si>
    <t>RAYMUNDO GILBERTO LARA RASCON</t>
  </si>
  <si>
    <t xml:space="preserve">ALISON SARAHI LOYO MARTINEZ </t>
  </si>
  <si>
    <t>REYNA MARIA LOYO MARTINEZ</t>
  </si>
  <si>
    <t>DAMARIS CASTILLO SANDOVAL</t>
  </si>
  <si>
    <t>REYNA GUADALUPE CARRILLO CASTILLO</t>
  </si>
  <si>
    <t>JESUS CARRILLO RODRIGUEZ</t>
  </si>
  <si>
    <t>KARINA YOLANDA CASTILLO VILLA</t>
  </si>
  <si>
    <t>NANCI MARIA GONZALEZ VILLA</t>
  </si>
  <si>
    <t>CAMILA RUIZ MORALES</t>
  </si>
  <si>
    <t>LUCIANO ANTONIO RUIZ CARRASCO</t>
  </si>
  <si>
    <t>MAGDALENA MORALES RODRIGUREZ</t>
  </si>
  <si>
    <t>LETICIA VARGAS RAMIREZ</t>
  </si>
  <si>
    <t>IKER EZEQUIEL DESSENS ESPINOZA</t>
  </si>
  <si>
    <t>ESEQUIEL ALBERTO DESSENS MADA</t>
  </si>
  <si>
    <t>ADRIANA CAROLINA ESPINOZA MERAZ</t>
  </si>
  <si>
    <t>RUBEN GERARDO DESSENS MADA</t>
  </si>
  <si>
    <t>REYNA GUADALUPE CASTRO LIMON</t>
  </si>
  <si>
    <t>EVARISTO CASTRO VIDRIO</t>
  </si>
  <si>
    <t>ERIKA GUADALUPE LIMON CRUZ</t>
  </si>
  <si>
    <t>MANUEL DE JESUS PLUMEDA VALLES</t>
  </si>
  <si>
    <t>MARCOS RAYMUNDO SOTO VALENZUELA</t>
  </si>
  <si>
    <t>MARCOS SOTO CHAVEZ</t>
  </si>
  <si>
    <t xml:space="preserve">ERIKA LIZBETH VALENZUELA GRIJALVA </t>
  </si>
  <si>
    <t>ADAN GONZALEZ RAMOS</t>
  </si>
  <si>
    <t>ANGEL GUADALUPE ESTRADA VIDRIO</t>
  </si>
  <si>
    <t>BARBARA ESMERALDA DANIEL CARRERA</t>
  </si>
  <si>
    <t>BRIANDA SELENE RODRIGUEZ LOPEZ</t>
  </si>
  <si>
    <t>ANGEL URIEL ALVARADO VALENCIA</t>
  </si>
  <si>
    <t>BRENDA ALEJANDRA ALVARADO VALENCIA</t>
  </si>
  <si>
    <t>MARIA DEL CARMEN REYES SANTANA</t>
  </si>
  <si>
    <t>DANIEL ALONSO DE LA RIVA CASTILLO</t>
  </si>
  <si>
    <t>GUILLERMO CONRADO DE LA RIVA CASTRO</t>
  </si>
  <si>
    <t>ADRIANA JANETH CASTILLO RAMOS</t>
  </si>
  <si>
    <t>EDGAR ARMANDO ANDRADE TANORI</t>
  </si>
  <si>
    <t>MATEO GUADALUPE RAMOS MENDEZ</t>
  </si>
  <si>
    <t>IVAN ALFONSO RAMOS OLEA</t>
  </si>
  <si>
    <t>FRANCISCA IRENE MENDEZ DE LA CRUZ</t>
  </si>
  <si>
    <t>ANGEL EMMANUEL GUERRERO SAMANIEGO</t>
  </si>
  <si>
    <t>MARTIN  RAFAEL GUERRERO CORRALES</t>
  </si>
  <si>
    <t>JESUS ELENA SAMANIEGO FERNANDEZ</t>
  </si>
  <si>
    <t xml:space="preserve">OCTAVIO SANCHEZ VELAZCO </t>
  </si>
  <si>
    <t>ROSA ANGELA ESTRADA DANIEL</t>
  </si>
  <si>
    <t>ROSARIO GUADALUPE AVILA RABAGO</t>
  </si>
  <si>
    <t>DIANA ELIZABETH ROMERO AMARILLAS</t>
  </si>
  <si>
    <t>MILTON DANIEL AVILA</t>
  </si>
  <si>
    <t>KARLA YADIRA RABAGO AMARILLAS</t>
  </si>
  <si>
    <t>SANTIAGO CELAYA ESTRELLA</t>
  </si>
  <si>
    <t>MIGUEL CELAYA FRANCO</t>
  </si>
  <si>
    <t>GLADYS JUDITH ESTRELLA GONZALEZ</t>
  </si>
  <si>
    <t>CARLOS ALÁN JAIME GARCÍA</t>
  </si>
  <si>
    <t>CESAR HERNÁNDEZ GASTELUM</t>
  </si>
  <si>
    <t>DANIA VALENTINA BOURJAC GONZÁLEZ</t>
  </si>
  <si>
    <t>DANIEL ALFREDO TANORI MAYBOCA</t>
  </si>
  <si>
    <t>GEYNAR ASHLYN VALENCIA ORNELAS</t>
  </si>
  <si>
    <t>GIOVANNA CAROLINA HERNÁNDEZ RIVERA</t>
  </si>
  <si>
    <t>ISABELLA DANAE ANGULO VERGARA</t>
  </si>
  <si>
    <t>LISSA MARIAH HOYOS DUARTE</t>
  </si>
  <si>
    <t>LUA REGINA ROBLES COTA</t>
  </si>
  <si>
    <t>LUIS CARLOS PADILLA NAJAR</t>
  </si>
  <si>
    <t>LUNA ANDREA GENEL FLORES</t>
  </si>
  <si>
    <t>MARHANI OSUNA ACOSTA</t>
  </si>
  <si>
    <t>MARÍA GUADALUE LECHUGA MARTINEZ</t>
  </si>
  <si>
    <t>MATHIAS PALACIOS AMAVIZCA</t>
  </si>
  <si>
    <t>MATÍAS PÉREZ BUELNA</t>
  </si>
  <si>
    <t>NICOLE PADILLA ARVIZU</t>
  </si>
  <si>
    <t>OSCAR RENÉ ENCINAS ACUÑA</t>
  </si>
  <si>
    <t>RAÚL ANDREE ZAYAS NÚÑEZ</t>
  </si>
  <si>
    <t>ROMÁN CASTILLO ALVARADO</t>
  </si>
  <si>
    <t>SAMIRA ROMERO GALVEZ</t>
  </si>
  <si>
    <t>SERGIO GAELL ENRÍQUEZ MORENO</t>
  </si>
  <si>
    <t>CARLOS JAHIR JAIME RUIZ</t>
  </si>
  <si>
    <t>CAROLINA GARCIA DAVILA</t>
  </si>
  <si>
    <t>JHOVANY HERNANDEZ VERDUGO</t>
  </si>
  <si>
    <t>JESÚS VLADIMIR ALVAREZ IBARRA</t>
  </si>
  <si>
    <t>JUDITH SALAZAR ARMENTA</t>
  </si>
  <si>
    <t>VALENTINA GONZÁLEZ ORTEGA</t>
  </si>
  <si>
    <t>ALFREDO TANORI RODRIGUEZ</t>
  </si>
  <si>
    <t>DAYANE ALEXIA MAYBOCA TARAZON</t>
  </si>
  <si>
    <t>JOSÉ MARÍA VALENCIA RODRIGUEZ</t>
  </si>
  <si>
    <t>ARLEEN PATRICIA ORNELAS ORDUÑO</t>
  </si>
  <si>
    <t>JOAQUIN JESÚS HERNÁNDEZ ESTRELLA</t>
  </si>
  <si>
    <t>GIOVANNA MARISOL RIVERA MEJÍA</t>
  </si>
  <si>
    <t>JOSUE GILBERTO ANGULO ESPINOZA</t>
  </si>
  <si>
    <t>MARINA VERGARA VERDUZCO</t>
  </si>
  <si>
    <t>ARNOLDO HOYOS BUSTAMANTE</t>
  </si>
  <si>
    <t>LUZ HERMINIA DUARTE BUSTAMANTE</t>
  </si>
  <si>
    <t>EMMANUEL ROBLES VAZQUEZ</t>
  </si>
  <si>
    <t>CINTHIA NICOLASA COTA RODRIGUEZ</t>
  </si>
  <si>
    <t>CARLOS ENRIQUE PADILLA RUIZ</t>
  </si>
  <si>
    <t>SACHENKA TAIANA NAJAR SÁNCHEZ</t>
  </si>
  <si>
    <t>JUAN DANIEL GENEL NAVA</t>
  </si>
  <si>
    <t>JOSEFINA FLORES QUINTERO</t>
  </si>
  <si>
    <t>MARCO ANTONIO OSUNA VERDUGO</t>
  </si>
  <si>
    <t>HANALI ACOSTA SMITH</t>
  </si>
  <si>
    <t>OSCAR LECHUGA BORQUEZ</t>
  </si>
  <si>
    <t>SOCORRO LIZZETTE MARTÍNEZ TANORI</t>
  </si>
  <si>
    <t>JUAN GABRIEL PALACIOS FELIX</t>
  </si>
  <si>
    <t>GABRIELA AMAVIZCA ARVIZU</t>
  </si>
  <si>
    <t>MARIO JORGE PÉREZ OLOÑO</t>
  </si>
  <si>
    <t>ANA LYDIA BUELNA CERVANTES</t>
  </si>
  <si>
    <t>LUIS ENRIQUE PADILLA RUIZ</t>
  </si>
  <si>
    <t>RAÚL BLADIMIR ZAYAS GARCÍA</t>
  </si>
  <si>
    <t>CLAUDIA YANETH NUÑEZ GUZMÁN</t>
  </si>
  <si>
    <t>RAMÓN CASTILLO GAMEZ</t>
  </si>
  <si>
    <t>JOSÉ ALBERTO ROMERO</t>
  </si>
  <si>
    <t>SAMIRA ALEJANDRA GALVEZ MORENO</t>
  </si>
  <si>
    <t>CANDELARIO ENRIQUEZ LAGUNA</t>
  </si>
  <si>
    <t>LLUVIA RAFAELA MORENO MORENO</t>
  </si>
  <si>
    <t>FERNANDA GARCÍA DAVILA</t>
  </si>
  <si>
    <t>MARÍA JESÚS VERDUGO ROMERO</t>
  </si>
  <si>
    <t>IRENE IBARRA ESCALANTE</t>
  </si>
  <si>
    <t>GABRIELA GUADALUPE OSUNA GONZALEZ</t>
  </si>
  <si>
    <t>LORENA ALICIA TARAZÓN TREJO</t>
  </si>
  <si>
    <t>PALOMA MARIA CANDELARIA RIVERA PERALTA</t>
  </si>
  <si>
    <t>ALEXIA FERNANDA CARREON RIVERA</t>
  </si>
  <si>
    <t>ROSA ELVA URIBE LABRA</t>
  </si>
  <si>
    <t>FRANCISCO JAVIER MIRANDA MARTIN DEL CAMPO</t>
  </si>
  <si>
    <t>PERLA MARISOL FLORES QUINTERO</t>
  </si>
  <si>
    <t>ERIKA ACOSTA SMITH</t>
  </si>
  <si>
    <t>DULCE CAROLINA PIÑA VEJAR</t>
  </si>
  <si>
    <t>JOSÉ CARLOS QUIÑONES AMAVIZCA</t>
  </si>
  <si>
    <t>KARLA EMILIA CERVANTES</t>
  </si>
  <si>
    <t>SILVIA LIZETH SANTIAGO PADILLA</t>
  </si>
  <si>
    <t>ELENA ACUÑA MORENO</t>
  </si>
  <si>
    <t>JORGE LUIS ACOSTA GARCÍA</t>
  </si>
  <si>
    <t>MARÍA JESÚS GAMEZ OCHOA</t>
  </si>
  <si>
    <t>ALEJANDRA GUADALUPE GALVEZ GARCÍA</t>
  </si>
  <si>
    <t>JESÚS ORLANDO COLSA MORENO</t>
  </si>
  <si>
    <t>GEORGINA YURITZI GONZALEZ LOPEZ</t>
  </si>
  <si>
    <t>DANIA MICHEL ÁLVAREZ SALAZAR</t>
  </si>
  <si>
    <t>JOSÉ ANTONIO BOURJAC CORONADO</t>
  </si>
  <si>
    <t>ANNA PAULA CAMACHO DUARTE</t>
  </si>
  <si>
    <t>IRIS MIGDELIA ARVIZU ALVARADO</t>
  </si>
  <si>
    <t>OSCAR RENÉ ENCINAS GONZÁLEZ</t>
  </si>
  <si>
    <t>FÁTIMA GUADALUPE ACUÑA MORENO</t>
  </si>
  <si>
    <t>MARÍA DEL CARMEN ALVARADO VELÁZQUEZ</t>
  </si>
  <si>
    <t>ABDIEL SALCIDO VILLA</t>
  </si>
  <si>
    <t>JESUS ABEL SALCIDO DOMINGUEZ</t>
  </si>
  <si>
    <t>JOHOVANA ISELA VILLA VILLA</t>
  </si>
  <si>
    <t>CARLOS FABIAN QUINTERO LIZARRAGA</t>
  </si>
  <si>
    <t>ANA CAROLINA MEZA LOYA</t>
  </si>
  <si>
    <t>HORACIO MEZA PARTIDA</t>
  </si>
  <si>
    <t>BRENDA FERNANDA LOYA ALMADA</t>
  </si>
  <si>
    <t>KARLA SOFIA ARRIAGA LOYA</t>
  </si>
  <si>
    <t>ANA VICTORIA GRANILLO VALENZUELA</t>
  </si>
  <si>
    <t xml:space="preserve">IRIS AYDEE VALENZUELA GUERRERO </t>
  </si>
  <si>
    <t>FRANCISCA PARRA DIAZ</t>
  </si>
  <si>
    <t>CHRISTOPHER CASTILLO FONTES</t>
  </si>
  <si>
    <t>CARLOS ALBERTO CASTILLO VALENZUELA</t>
  </si>
  <si>
    <t>IVONNE MERCEDES FONTES HERNANDEZ</t>
  </si>
  <si>
    <t>JOSE JORGE HERNANDEZ ROMO</t>
  </si>
  <si>
    <t>CLARISSA SALAZAR AMARILLAS</t>
  </si>
  <si>
    <t>ABRAHAM SALAZAR VALENZUELA</t>
  </si>
  <si>
    <t>ARACELY ELIZABETH AMARILLAS AMAVIZCA</t>
  </si>
  <si>
    <t>BLANCA JULIA LOPEZ VALENZUELA</t>
  </si>
  <si>
    <t>DIANA MARISOL ENCINAS GUTIERREZ</t>
  </si>
  <si>
    <t>DIANA GUTIERREZ MUÑOZ</t>
  </si>
  <si>
    <t>GENARO VALLE RODRIGUEZ</t>
  </si>
  <si>
    <t>GENARO ANDRES VALLE PATIÑO</t>
  </si>
  <si>
    <t>VERONICA FERNANDA RODRIGUEZ FIERRO</t>
  </si>
  <si>
    <t>JUAN CARLOS VERDUGO RENTERIA</t>
  </si>
  <si>
    <t>JESUS ALEXIS MORALES CADILLO</t>
  </si>
  <si>
    <t>JESUS ALBERTO MORALES BORBON</t>
  </si>
  <si>
    <t>ALEJANDRA CADILLO CHAVEZ</t>
  </si>
  <si>
    <t>DORA ALICIA CHAVEZ SANCHEZ</t>
  </si>
  <si>
    <t>JESUS ROBERTO RAMIREZ URIAS</t>
  </si>
  <si>
    <t>YULIANA VANNESA BRACAMONTES CORTEZ</t>
  </si>
  <si>
    <t>LUIS DIEGO MENDEZ BRACAMONTES</t>
  </si>
  <si>
    <t>JUAN PABLO AVALOS SABAG</t>
  </si>
  <si>
    <t xml:space="preserve">JUAN ALBERTO AVALOS CARRILLO </t>
  </si>
  <si>
    <t>KARIN A VIANEY SABAG ACOSTA</t>
  </si>
  <si>
    <t>JOSE ROBERTO RAMIREZ BRACAMONTES</t>
  </si>
  <si>
    <t>LUCA GABRIEL URUCHURTU ESPINOZA</t>
  </si>
  <si>
    <t>SERGIO GABRIEL URUCHURTU CONTRERAS</t>
  </si>
  <si>
    <t>POHEBE ESPINOZA IZQUIERDO</t>
  </si>
  <si>
    <t>GUADALUPE DEL CARMEN URUCHURTU CONTRERAS</t>
  </si>
  <si>
    <t>LUIS PABLO RODRIGUEZ GUERRERO</t>
  </si>
  <si>
    <t>LUIS ALFONSO RODRIGUEZ MARTINEZ</t>
  </si>
  <si>
    <t>ROSA MARIA GUERRERO DE LA LLATA</t>
  </si>
  <si>
    <t>DIANA GABRIELA FIMBRES GUERRERO</t>
  </si>
  <si>
    <t>LUZ DANIELA ARREOLA VILLA</t>
  </si>
  <si>
    <t>JESUS DANIEL ARREOLA AVILA</t>
  </si>
  <si>
    <t>MARIA DE LA LUZ VILLA LARIOS</t>
  </si>
  <si>
    <t>GUADALUPE IRENE DOMINGUEZ MARTINEZ</t>
  </si>
  <si>
    <t>MARIA FERNANDA ARMENTA SALAS</t>
  </si>
  <si>
    <t>MIRIAM GUADALUPE SALAS ALVAREZ</t>
  </si>
  <si>
    <t>MAUREN ALEJANDRO BORBON RUBIO</t>
  </si>
  <si>
    <t>LUIS FERNANDO BORBON APODACA</t>
  </si>
  <si>
    <t>ALEJANDRA CLIZETH RUBIO GONZALEZ</t>
  </si>
  <si>
    <t xml:space="preserve">EDNA ALICIA  APODACA OTERO </t>
  </si>
  <si>
    <t>MARIA CELESTE ROCHIN CANO</t>
  </si>
  <si>
    <t>JOSE ADALBERTO ROCHIN FONSECA</t>
  </si>
  <si>
    <t>CELESTE GUADALUPE CANO VALENZUELA</t>
  </si>
  <si>
    <t>ANABELL FELIX QUINTANA</t>
  </si>
  <si>
    <t>MATTIAS CALLES GRAFF</t>
  </si>
  <si>
    <t>RAQUEL AMALIA GRAFF VILLAESCUZA</t>
  </si>
  <si>
    <t>MIA NOELIA ROMO SILVA</t>
  </si>
  <si>
    <t>NOE ELIAS ROMO TERAN</t>
  </si>
  <si>
    <t>DINA LIZETH SILVA CASTILLO</t>
  </si>
  <si>
    <t>SANDRA ELIZABETH MEJIA TERAN</t>
  </si>
  <si>
    <t>OMAR ALFREDO HINOJOZA ALVIDREZ</t>
  </si>
  <si>
    <t>OMAR ALFREDO HINOJOZA MARTINEZ</t>
  </si>
  <si>
    <t>MARIBEL ALVIDREZ PINO</t>
  </si>
  <si>
    <t>MARINA GUADALUPE HINOJOZA MARTINEZ</t>
  </si>
  <si>
    <t>RAIKO ANDREE BALLESTEROS ARVAYO</t>
  </si>
  <si>
    <t>RICARDO ADRIAN BALLESTEROS LEON</t>
  </si>
  <si>
    <t>MARTHA CECILIA ARVAYO BUJANDA</t>
  </si>
  <si>
    <t>CAROLINA ZAMORANO GOMEZ</t>
  </si>
  <si>
    <t>SERGIO ROBERTO ALVIDREZ VILLA</t>
  </si>
  <si>
    <t>SERGIO ROBERTO ALVIDREZ PINO</t>
  </si>
  <si>
    <t>LIZETH VILLA SOTO</t>
  </si>
  <si>
    <t>MARIA ANTONIETA VILLA SOTO</t>
  </si>
  <si>
    <t>VALENTINA CANO HERNANDEZ</t>
  </si>
  <si>
    <t>LUIS ARTURO CANO TELLEZ</t>
  </si>
  <si>
    <t>ANA PATRICIA HERNANDEZ DORANTES</t>
  </si>
  <si>
    <t>DIANA GIL DURAN</t>
  </si>
  <si>
    <t>VALENTINO JAIME GARCIA</t>
  </si>
  <si>
    <t>JIMENA GARCIA DAVILA</t>
  </si>
  <si>
    <t>MA. ASUNCION MUÑOZ SALAS</t>
  </si>
  <si>
    <t>ALEXA CABANILLAS RUELAS</t>
  </si>
  <si>
    <t>RODOLFO CABANILLAS RUBIO</t>
  </si>
  <si>
    <t>NORMA LUZ RUELAS RUIZ</t>
  </si>
  <si>
    <t>GISELA BALLESTEROS RUIZ</t>
  </si>
  <si>
    <t>ANA VICTORIA BURRUEL GOMEZ</t>
  </si>
  <si>
    <t xml:space="preserve">JOSE IVAN BURRUEL IBARRA </t>
  </si>
  <si>
    <t xml:space="preserve">DULCE MARIA GOMEZ ANAYA </t>
  </si>
  <si>
    <t>BRISSA LIZETH GOMEZ ANAYA</t>
  </si>
  <si>
    <t>ANNA MARIA TRILLAS PALACIOS</t>
  </si>
  <si>
    <t>RAUL FRANCISCO TRILLAS FRANCO</t>
  </si>
  <si>
    <t>ANA JANNETH PALACIOS CARPIO</t>
  </si>
  <si>
    <t>SANDRA JUDITH LUNA BOJORQUEZ</t>
  </si>
  <si>
    <t>OMAR MURILLO NOLASCO</t>
  </si>
  <si>
    <t>DUNA AYLIN MURILLO CASILLAS</t>
  </si>
  <si>
    <t>GRECIA GUADALUPE CASILLAS CARAVANTES</t>
  </si>
  <si>
    <t>GABRIELA DE JESUS CASILLAS CARAVANTES</t>
  </si>
  <si>
    <t>ELENA ADRIANA MANZANARES INZUNZA</t>
  </si>
  <si>
    <t>ADRIANA INZUNZA CALDERON</t>
  </si>
  <si>
    <t>GENESIS ELIZABETH CORONADO LEON</t>
  </si>
  <si>
    <t>CARLOS ERNESTO CORONADO DEL RINCON</t>
  </si>
  <si>
    <t>ERIKA NORMA LEON SAMANIEGO</t>
  </si>
  <si>
    <t>IDEMI GUADALUPE RODRIGUEZ COTA</t>
  </si>
  <si>
    <t>ISAAC TERRAZAS CORDERO</t>
  </si>
  <si>
    <t>ESTEBAN TERRAZAS MORA</t>
  </si>
  <si>
    <t xml:space="preserve">KARINA GABRIELA CORDERO RAMOS </t>
  </si>
  <si>
    <t>MARIA DEL REFUGIO RAMOS RODRIGUEZ</t>
  </si>
  <si>
    <t>IVAN DE JESUS MONGE LEON</t>
  </si>
  <si>
    <t>IVAN DE JESUS MONGE ORDUÑO</t>
  </si>
  <si>
    <t>PAULINA LEON ROMAN</t>
  </si>
  <si>
    <t>SERGIO ENRIQUE CASTAÑEDA GUERRERO</t>
  </si>
  <si>
    <t>IYANNA MEDINA MUNGUIA</t>
  </si>
  <si>
    <t>JESUS FELIPE MEDINA CAMPAS</t>
  </si>
  <si>
    <t>ZURISADAY MUNGUIA HARO</t>
  </si>
  <si>
    <t>RAMONA MEDINA GOMEZ</t>
  </si>
  <si>
    <t>JOSE FERNANADO GUTIERREZ HARO</t>
  </si>
  <si>
    <t>MANUEL OSVALDO GUTIERREZ URBINA</t>
  </si>
  <si>
    <t>ISABEL JOSEFINA HARO CRUZ</t>
  </si>
  <si>
    <t xml:space="preserve">ROSA LAURA BETANICO GARCIA </t>
  </si>
  <si>
    <t>JUDAS TADEO GUTIERREZ HARO</t>
  </si>
  <si>
    <t>YADIRA GUADALUPE WILLIAMS DUARTE</t>
  </si>
  <si>
    <t>LUIS DARIO RODRIGUEZ DE LA TORRE</t>
  </si>
  <si>
    <t>RUBEN DARIO RODRIGUEZ QUINTANAR</t>
  </si>
  <si>
    <t>BRENDA CATALINA DE LA TORRE TAPÍA</t>
  </si>
  <si>
    <t>JANNETT FERNANDA RODRIGUEZ BERMUDEZ</t>
  </si>
  <si>
    <t>LUIS ENRIQUE GUTIERREZ VALDEZ</t>
  </si>
  <si>
    <t>LUIS ENRIQUE GUTIERREZ TALAMANTE</t>
  </si>
  <si>
    <t>LILIAN VALDEZ MIRANDA</t>
  </si>
  <si>
    <t>GERMAN MONGE CAMPOY</t>
  </si>
  <si>
    <t>MANUEL OSVALDO GUTIERREZ HARO</t>
  </si>
  <si>
    <t>CARMEN MIRELLA GUTIERREZ URBINA</t>
  </si>
  <si>
    <t>MARIA EMILIA VIZCAINO LOPEZ</t>
  </si>
  <si>
    <t>JUAN MANUEL VIZCAINO CORDOVA</t>
  </si>
  <si>
    <t>MARTHA EMILIA LOPEZ MONTOYA</t>
  </si>
  <si>
    <t>MARIA EUGENIA VIZCAINO CORDOVA</t>
  </si>
  <si>
    <t>MONICA AMPARO MOLINA PORTELA</t>
  </si>
  <si>
    <t>LETICIA ISIDORA MOLINA PORTELA</t>
  </si>
  <si>
    <t>PABLO IVAN VALLES DEGOLLADO</t>
  </si>
  <si>
    <t>OVIEL IVAN VALLES FLORES</t>
  </si>
  <si>
    <t>MYRNA GUADALUPE DEGOLLADO QUIJADA</t>
  </si>
  <si>
    <t>JESUS ENRIQUE VALLES FLORES</t>
  </si>
  <si>
    <t>PAULA ELIZABETH PEREZ JUVERA</t>
  </si>
  <si>
    <t>EDUARDO CARLOS PEREZ MILLAN</t>
  </si>
  <si>
    <t xml:space="preserve">ELSA PATRICIA JUVERA AYALA </t>
  </si>
  <si>
    <t>SANTIAGO NIEBLA SUAREZ</t>
  </si>
  <si>
    <t xml:space="preserve">HEBERTO NIEBLA DIBENE </t>
  </si>
  <si>
    <t>GUADALUPE SUAREZ GUTIERREZ</t>
  </si>
  <si>
    <t>RICARDO SUAREZ GUTIERREZ</t>
  </si>
  <si>
    <t>ALVA LUZ CARRILLO SILVA</t>
  </si>
  <si>
    <t>ANGEL HORACIO ALCANTAR QUINTERO</t>
  </si>
  <si>
    <t>BENITO ESPINOZA LERMA</t>
  </si>
  <si>
    <t>ANGEL GEOBANI ALCANTAR CARRILLO</t>
  </si>
  <si>
    <t>MIGUEL ANGEL SOTO BORBON</t>
  </si>
  <si>
    <t>SHEILA ABELI CORRALES MARTINEZ</t>
  </si>
  <si>
    <t>PALOMA CRISTAL ARIYOSHI LOPEZ</t>
  </si>
  <si>
    <t>ANGELARELY SOTELO ACUÑA</t>
  </si>
  <si>
    <t xml:space="preserve">RAMONA AIDA ACUÑA VILLEGAS </t>
  </si>
  <si>
    <t>CAROLINA ALCANTAR CARRILLO</t>
  </si>
  <si>
    <t>RAUL ARTURO QUINTERO MONTES</t>
  </si>
  <si>
    <t>DANNA NICOLLE SALAZAR ARREDONDO</t>
  </si>
  <si>
    <t>ADAN ROLANDO SALAZAR PIÑA</t>
  </si>
  <si>
    <t>YAZMIN ELIZABETH ARREDONDO BERNAL</t>
  </si>
  <si>
    <t xml:space="preserve">MARIAN GARCIA SALAZAR </t>
  </si>
  <si>
    <t>DIEGO ALEJANDRO DURAN TORRES</t>
  </si>
  <si>
    <t>CLAUDIA MARITZA TORRES LOPEZ</t>
  </si>
  <si>
    <t>RAFAEL TORRES LOPEZ</t>
  </si>
  <si>
    <t>FRANCISCO ADRIAN MUNGARAY VALENZUELA</t>
  </si>
  <si>
    <t>FRANCISCO ADRIAN MUNGARAY MADA</t>
  </si>
  <si>
    <t>GLORIA MARINA VALENZUELA FELIX</t>
  </si>
  <si>
    <t>ANDY BUENROSTRO</t>
  </si>
  <si>
    <t>GLORIA ADILENE MUNGARAY VALENZUELA</t>
  </si>
  <si>
    <t>MARIA  GUADALUPE VALDEZ VALENZUELA</t>
  </si>
  <si>
    <t xml:space="preserve">JAZMIN LOPEZ GARCIA </t>
  </si>
  <si>
    <t>JOSE LOPEZ LOPEZ</t>
  </si>
  <si>
    <t xml:space="preserve">HITAI GARCIA CASTRO </t>
  </si>
  <si>
    <t>ELIZABETH BASILIA LOPEZ LOPEZ</t>
  </si>
  <si>
    <t>JESUS GAEL MORENO MELENDREZ</t>
  </si>
  <si>
    <t>SAMUEL FRANCISCO MORENO SANCHEZ</t>
  </si>
  <si>
    <t>GLENDA EDITH MELENDREZ LUNA</t>
  </si>
  <si>
    <t>LESSLY YAZHIKY LOPEZ MORENO</t>
  </si>
  <si>
    <t>JORGE SANTIAGO CORDOVA CORDOVA</t>
  </si>
  <si>
    <t>CHRISTIAN SANTIAGO CORDOVA DUARTE</t>
  </si>
  <si>
    <t>DIANA GUADALUPE CORDOVA TANORI</t>
  </si>
  <si>
    <t>LUZ MERCEDES SILVA DUARTE</t>
  </si>
  <si>
    <t>JOSE SANTIAGO ALVARADO MADRID</t>
  </si>
  <si>
    <t>JOSE RAUL ALVARADO HERRERA</t>
  </si>
  <si>
    <t>ALMA JUDITH MADRID SANDOVAL</t>
  </si>
  <si>
    <t xml:space="preserve">JESUS FRANCISCO HERNANDEZ SANCHEZ </t>
  </si>
  <si>
    <t xml:space="preserve">MATEO MORENO GARCIA </t>
  </si>
  <si>
    <t xml:space="preserve">ABRAHAM MORENO ARANA </t>
  </si>
  <si>
    <t>LETICIA GARCIA LEYVA</t>
  </si>
  <si>
    <t xml:space="preserve">CYNTYA XOCHIL GARCIA LEYVA </t>
  </si>
  <si>
    <t>OLIVER EMILIANO RODRIGUEZ BRAY</t>
  </si>
  <si>
    <t>JOSE ANTONIO RODRIGUEZ CORONADO</t>
  </si>
  <si>
    <t xml:space="preserve">GLORIA PATRICA BRAY BRACAMONTES </t>
  </si>
  <si>
    <t>MORELIA AZENETH AGRAZ BRAY</t>
  </si>
  <si>
    <t>RAYMUNDO TRUJILLO BORQUEZ</t>
  </si>
  <si>
    <t>RAYMUNDO TRUJILLO VASQUEZ</t>
  </si>
  <si>
    <t>LAURA ELENA BORQUEZ HOYOS</t>
  </si>
  <si>
    <t>SAMANTHA CAMPAÑA CADILLO</t>
  </si>
  <si>
    <t>OMAR JAVIER CAMPAÑA PADILLA</t>
  </si>
  <si>
    <t>CAROLINA CADILLO CHAVEZ</t>
  </si>
  <si>
    <t>SENOVIA ABIGAIL MUNGARAY VALENZUELA</t>
  </si>
  <si>
    <t xml:space="preserve">ILIANA GUADALUPE VELEZ MARTINEZ </t>
  </si>
  <si>
    <t>SHERLYN FRANCISCA COLOSSIO MARTINEZ</t>
  </si>
  <si>
    <t>FRANCISCO HUMBERTO COLOSSIO GUTIERREZ</t>
  </si>
  <si>
    <t xml:space="preserve">VIANEY GABRIELA MARTINEZ AGÜERO </t>
  </si>
  <si>
    <t>REBECA GUTIERREZ BADILLA</t>
  </si>
  <si>
    <t>XIMENA ANDREA NAVARRO PERAZA</t>
  </si>
  <si>
    <t>EDGAR IVAN NAVARRO MEDINA</t>
  </si>
  <si>
    <t>MARTHA DOLORES PERAZA GARCIA</t>
  </si>
  <si>
    <t>RENE VICTORIA PERAZA VALENZUELA</t>
  </si>
  <si>
    <t>RUTH JAZMIN MARTINEZ GALAZ</t>
  </si>
  <si>
    <t>JESUS ANTONIO MARTINEZ CHAVEZ</t>
  </si>
  <si>
    <t>MARTHA GALAZ LUZANIA</t>
  </si>
  <si>
    <t>MARGARITA MARTINEZ CHAVEZ</t>
  </si>
  <si>
    <t>YOLANDA ARELY SOTELO ACUÑA</t>
  </si>
  <si>
    <t>ANGELA  ABELI SOTO CORRALES</t>
  </si>
  <si>
    <t>ADRIAN DURAN URQUIJO</t>
  </si>
  <si>
    <t>FRANCISCO ARMANDO MENDEZ MURRIETA</t>
  </si>
  <si>
    <t>ANGEL ARMANDO MAYTORENA DURAZO</t>
  </si>
  <si>
    <t>ANGELICA RAMIREZ MACHADO</t>
  </si>
  <si>
    <t xml:space="preserve">ARELY ELIZABETH GALVEZ AGUILAR </t>
  </si>
  <si>
    <t>AXEL  ADAN SALAZAR ARREDONDO</t>
  </si>
  <si>
    <t>CARLA CRISTINA COSME SOBARZO</t>
  </si>
  <si>
    <t>CHRISTIAN KALED ARVIZU VERDUGO</t>
  </si>
  <si>
    <t>DIEGO ALBERTO CRUZ URIAS</t>
  </si>
  <si>
    <t>ELEANA FÈLIX MUÑOZ</t>
  </si>
  <si>
    <t>HERMAN ANTONIO MORAN LAPIZCO</t>
  </si>
  <si>
    <t>JESUS DANIEL AGUILAR DURAZO</t>
  </si>
  <si>
    <t>JOSE CARLOS OCHOA DIAZ</t>
  </si>
  <si>
    <t>JUAN CARLOS MORENO JACOBO</t>
  </si>
  <si>
    <t>JUAN CARLOS PONCE SALAZAR</t>
  </si>
  <si>
    <t>MARIA PAULA SANCHEZ CABELLO</t>
  </si>
  <si>
    <t>PABLO HOLGUIN DUARTE</t>
  </si>
  <si>
    <t>SUSANA LOPEZ CORRALES</t>
  </si>
  <si>
    <t>ANGEL ARMANDO MAYTORENA HERNANDEZ</t>
  </si>
  <si>
    <t>MARIA LUISA DURAZO BADILLO</t>
  </si>
  <si>
    <t>ESPERANZA DURAZO BADILLO</t>
  </si>
  <si>
    <t>EDUARDO GREGORIO RAMIREZ CHAVEZ</t>
  </si>
  <si>
    <t>FERNANDA MACHADO MANJARREZ</t>
  </si>
  <si>
    <t>ADRIANA MACHADO MANJARREZ</t>
  </si>
  <si>
    <t>FRANCISCO JAVIER GALVEZ VASQUEZ</t>
  </si>
  <si>
    <t>CLAUDIA GUADALUPE AGUILAR MELENDEZ</t>
  </si>
  <si>
    <t>BRIANNA VIANEY MIRANDA</t>
  </si>
  <si>
    <t>MARINA GARCIA SALAZAR</t>
  </si>
  <si>
    <t>MARIA LUZ SOBARZO OLIVARES</t>
  </si>
  <si>
    <t>JESUS ENRIQUE ARVIZU ORTIZ</t>
  </si>
  <si>
    <t>CYNTIA CHIRSTIAN VERDUGO GALVEZ</t>
  </si>
  <si>
    <t>DANIELA GRANADOS ZEPEDA</t>
  </si>
  <si>
    <t>MARIA NORA ALICIA CASTILLO ROBLES</t>
  </si>
  <si>
    <t>FRACISCO FELIX FELIX</t>
  </si>
  <si>
    <t>AIDA KARINA MUÑOZ MARTINEZ</t>
  </si>
  <si>
    <t>KAROL CAMALICH FELIX</t>
  </si>
  <si>
    <t>HERMAN URIEL MORAN CHANG</t>
  </si>
  <si>
    <t xml:space="preserve">MARIA JOSE LAPIZCO BUELNA </t>
  </si>
  <si>
    <t xml:space="preserve">NANCY FABIOLA AVILA GUTIERREZ </t>
  </si>
  <si>
    <t>JESUS AGUILAR GARCIA</t>
  </si>
  <si>
    <t>CLAUDIA DANIELA DURAZO BADILLO</t>
  </si>
  <si>
    <t>DAVID FRANCISCO AGUILAR MADERO</t>
  </si>
  <si>
    <t>LUIS ARMANDO OCHOA MARQUEZ</t>
  </si>
  <si>
    <t>MIRIAM GUADALUPE DIAZ GONZALEZ</t>
  </si>
  <si>
    <t>LUIS JAVIER ALEJANDRO ESPINOZA DIAZ</t>
  </si>
  <si>
    <t xml:space="preserve">JUAN JESUS MORENO MONGE </t>
  </si>
  <si>
    <t>KARLA MARIA JACOBO PIÑA</t>
  </si>
  <si>
    <t>ELVIRA GARCIA</t>
  </si>
  <si>
    <t>JUAN CARLOS PONCE MADRID</t>
  </si>
  <si>
    <t>OLIMPIA SALAZAR SERRANO</t>
  </si>
  <si>
    <t>FILEMON PONCE CORREA</t>
  </si>
  <si>
    <t>JUAN PABLO SANCHEZ LUNA</t>
  </si>
  <si>
    <t>REBECA ALEJANDRA CABELLO GAXIOLA</t>
  </si>
  <si>
    <t>SOFIA ALEJANDRA VELASCO FIGUEROA</t>
  </si>
  <si>
    <t>JUAN CARLOS ROMERO</t>
  </si>
  <si>
    <t>ANA JIMENA JIMENEZ GARCIA</t>
  </si>
  <si>
    <t>MARIA PIA JIMENEZ RODRIGUEZ</t>
  </si>
  <si>
    <t>LUIS ALEJANDRO HOLGUIN DUARTE</t>
  </si>
  <si>
    <t>ROCIO DUARTE SOTOMAYOR</t>
  </si>
  <si>
    <t>OMAR DUARTE SOTOMAYOR</t>
  </si>
  <si>
    <t>TOMAS MARTIN LOPEZ GOMEZ</t>
  </si>
  <si>
    <t>IVETTE FRANCISCA CORRALES BUENO</t>
  </si>
  <si>
    <t>ITZEL ADALY RUIZ CORRALEZ</t>
  </si>
  <si>
    <t>JESUS EL SEÑOR - CARMEN CONTRERAS - 18 DE MAYO DE 2024</t>
  </si>
  <si>
    <t>NTRA. SRA. DE LA PAZ - KARLA CECILIA FIMBRES NUÑEZ 1 DE JUNIO DE 2024</t>
  </si>
  <si>
    <t>SAN PIO -  YANET GARCIA MESA 11 DE MAYO DE 2024</t>
  </si>
  <si>
    <t>NUESTRA SEÑORA DE LA PAZ - ALMA DELIA Y BETTY 25  DE MAYO DE 2024</t>
  </si>
  <si>
    <t>NUESTRA SEÑORA DE LA PAZ - LULU Y MONICA 25  DE MAYO DE 2024</t>
  </si>
  <si>
    <t>NUESTRA SEÑORA DE LA PAZ - MARTHA MIRANDA 31  DE MAYO DE 2024</t>
  </si>
  <si>
    <t>NUESTRA SEÑORA DE LA PAZ - ARIADNA  31  DE MAYO DE 2024</t>
  </si>
  <si>
    <t>NUESTRA SEÑORA DE LA PAZ - OLGA Y MARCIA  31  DE MAYO DE 2024</t>
  </si>
  <si>
    <t>MATHEO ALAN ROMERO JIMENEZ</t>
  </si>
  <si>
    <t>MARIO ALBERTO CRUZ CATSILLO</t>
  </si>
  <si>
    <t>LORENA SOBARZO OLIVARES</t>
  </si>
  <si>
    <t>KENDRA YULIANA RAMIREZ BRACAMONTES</t>
  </si>
  <si>
    <t>DANIEL EDUARDO CORONADO MOLINA</t>
  </si>
  <si>
    <t>MARTINA OLIVAS BERNAL</t>
  </si>
  <si>
    <t>DAVID ENRIQUE CORONADO MOLINA Y MARIA DEL CONSUELO MORA MENESES</t>
  </si>
  <si>
    <t>DANNA CORONADO OLIVAS</t>
  </si>
  <si>
    <t>BAUTIZOS DEL 2023</t>
  </si>
  <si>
    <t>BAUTIZOS DEL 2024</t>
  </si>
  <si>
    <t>OMAR MANZANARES DURAZO</t>
  </si>
  <si>
    <t xml:space="preserve">ALEJANDRA RODRIGUEZ ALVAREZ </t>
  </si>
  <si>
    <t>LEONARDO MANZANARES DURAZO</t>
  </si>
  <si>
    <t>CERTIFICADO DE CONFIRMACION 2023</t>
  </si>
  <si>
    <t>CERTIFICADO DE CONFIRMACION 2024</t>
  </si>
  <si>
    <t>ARIEL EDUARDO OCAMPO LAGUNA</t>
  </si>
  <si>
    <t>BERENICE GARCIA CALDERON</t>
  </si>
  <si>
    <t>CARLOS ANTONIO RODRIGUEZ FIMBRES</t>
  </si>
  <si>
    <t>DIANE SOFIA LOPEZ BADILLA</t>
  </si>
  <si>
    <t>EDGAR DANIEL FELIX MEDRANO</t>
  </si>
  <si>
    <t>GAEL IRAM RENDON ESTRADA</t>
  </si>
  <si>
    <t>HECTOR DANIEL DELGADO GALINDO</t>
  </si>
  <si>
    <t>JESUS ALBERTO GARCIA ROBLES</t>
  </si>
  <si>
    <t>JOSE LUIS CORDOVA VALENZUELA</t>
  </si>
  <si>
    <t>LUIS PABLO PADILLA CHARLES</t>
  </si>
  <si>
    <t>NADIA CHARLOTTE ARVIZU ENCINAS</t>
  </si>
  <si>
    <t>PABLO MIGUEL LOPEZ PEREZ</t>
  </si>
  <si>
    <t>PAOLA VALENZUELA NOVELA</t>
  </si>
  <si>
    <t>ROBBY JEOVANN CUEVAS LEYVA</t>
  </si>
  <si>
    <t>ROMINA IVETTE RODRIGUEZ CAMPOY</t>
  </si>
  <si>
    <t>SAMANTHA CAMILA LUQUE BORBON</t>
  </si>
  <si>
    <t>SANTIAGO ALMARAZ ECHEVERRIA</t>
  </si>
  <si>
    <t>XIMENA ALEJANDRA FELIX MORENO</t>
  </si>
  <si>
    <t>XIMENA RODRIGUEZ SILVA</t>
  </si>
  <si>
    <t>ARIEL OCAMPO VALENCIA</t>
  </si>
  <si>
    <t>BRENDA LORENA LAGUNA MORALES</t>
  </si>
  <si>
    <t>FABIAN MARTINEZ LEON</t>
  </si>
  <si>
    <t>EDUARDO GARCIA CHAVEZ</t>
  </si>
  <si>
    <t>REYNA BERENICE CALDERON GIL</t>
  </si>
  <si>
    <t>MARLENE GUADALUPE CALDERON GIL</t>
  </si>
  <si>
    <t>ROSARIO ANDUAGA COTA</t>
  </si>
  <si>
    <t>SERGIO ANTONIO RODRIGUEZ ORTEGA</t>
  </si>
  <si>
    <t>MARCELA SUGHEY DELGADILLO GUILLEN</t>
  </si>
  <si>
    <t>BRISA GUADALUPE MORENO MORENO</t>
  </si>
  <si>
    <t>MANUEL DE JESUS LOPEZ ONTIBVEROS</t>
  </si>
  <si>
    <t>MARIA DELIA MALDONADO RAMIREZ</t>
  </si>
  <si>
    <t>DIEGO ALEJANDRO ANGULO VERGARA</t>
  </si>
  <si>
    <t>DANIA FELIX MEDRANO</t>
  </si>
  <si>
    <t>ABELARDO FELIX MONTAÑO</t>
  </si>
  <si>
    <t>RAUL RENDON PADILLA</t>
  </si>
  <si>
    <t>ALMA DELIA ESTRADA CORDOVA</t>
  </si>
  <si>
    <t>JOSE ALFREDO ESTRADA CORDOVA</t>
  </si>
  <si>
    <t>DANIEL DELGADO HERNANDEZ</t>
  </si>
  <si>
    <t>ROCIO GALINDO LAGARDA</t>
  </si>
  <si>
    <t>IVAN RUBEN HERRERA LAGARDA</t>
  </si>
  <si>
    <t xml:space="preserve">ALBERTO ORLANDO GARCIA ARROYO </t>
  </si>
  <si>
    <t>JUAN FRANCISCO BARRERA SANZUR</t>
  </si>
  <si>
    <t xml:space="preserve">JOSELIM GUADALUPE VALENZUELA CARLOS </t>
  </si>
  <si>
    <t>MAYRA EUGENIA MILLANES MORA</t>
  </si>
  <si>
    <t>FLAVIO PADILLA FERNANDEZ</t>
  </si>
  <si>
    <t>DULCE DANETT CHARLES PESQUEIRA</t>
  </si>
  <si>
    <t>JESUS EDUARDO CHARLES PESQUEIRA</t>
  </si>
  <si>
    <t>MARISMA CLAIRE ARTEAGA BARRON</t>
  </si>
  <si>
    <t>BERNARDO ARTEAGA LOBATOS</t>
  </si>
  <si>
    <t>MARIA ELENA BARRON HERNANDEZ</t>
  </si>
  <si>
    <t>MARIA DE LOURDES HERNANDEZ REYES</t>
  </si>
  <si>
    <t>JORGE ANTONIO ARVIZU ARVIZU</t>
  </si>
  <si>
    <t xml:space="preserve">NADIA JANETTE ENCINAS GARCIA </t>
  </si>
  <si>
    <t>MIGUEL ANGEL LOPEZ SANCHEZ</t>
  </si>
  <si>
    <t>YESSICA IVET PEREZ RIOS</t>
  </si>
  <si>
    <t xml:space="preserve">JESUS CESAR PEREZ RIOS </t>
  </si>
  <si>
    <t>OMAR RENATO VALENZUELA TERAN</t>
  </si>
  <si>
    <t>CLARISSA JEANETH NOVELA DOMINGUEZ</t>
  </si>
  <si>
    <t>VICTOR MANUEL LANDEROS VALADEZ</t>
  </si>
  <si>
    <t>JORGE CUEVAS ALVAREZ</t>
  </si>
  <si>
    <t>JUDITH GEOVANNA LEYVA CASTILLO</t>
  </si>
  <si>
    <t>JUAN CARLOS FIGUEROA VILLEGAS</t>
  </si>
  <si>
    <t>KLAUDIA IVETTE CAMPOY SOTOMAYOR</t>
  </si>
  <si>
    <t>DINORA MALDONADO RICARDEZ</t>
  </si>
  <si>
    <t>RAMON ALBERETO LUQUE MORALES</t>
  </si>
  <si>
    <t>ADELAIDA FELIX BARRAZA</t>
  </si>
  <si>
    <t>JESUS ANTONIO ALMARAZ QUIHUIS</t>
  </si>
  <si>
    <t xml:space="preserve">MARISOL ECHEVERRIA BELTRAN </t>
  </si>
  <si>
    <t>GABRIELA  ECHEVERRIA BELTRAN</t>
  </si>
  <si>
    <t xml:space="preserve">FELIPE FELIX FELIX </t>
  </si>
  <si>
    <t>NOYRA LUZ SILVA LOPEZ</t>
  </si>
  <si>
    <t>MARIA DOLORES MORALES YOCUPICIO</t>
  </si>
  <si>
    <t xml:space="preserve">NTRA SRA DE LA PAZ - MARIBEL RODRIGUEZ </t>
  </si>
  <si>
    <t>NTRA SRA DE LA PAZ -  MAIRA AURORA</t>
  </si>
  <si>
    <t>NTRA SRA DE LA PAZ - SAMUEL</t>
  </si>
  <si>
    <t>SAN PIO - ICELA CALDERA</t>
  </si>
  <si>
    <t xml:space="preserve">SAN PIO - IVETH VILLANUEVA </t>
  </si>
  <si>
    <t>ALISON SARAHI LOYO MARTINEZ</t>
  </si>
  <si>
    <t>ANA MIRIAM GAMEZ FLORES</t>
  </si>
  <si>
    <t>CAMILA GUADALUPE PERALTA AHUMADA</t>
  </si>
  <si>
    <t>CLAUDIA ANGELINE BUSTAMANTE RAMOS</t>
  </si>
  <si>
    <t>DANNA JOCELYN MATA ORDUÑO</t>
  </si>
  <si>
    <t xml:space="preserve">LINEY ISABEL FLORES ROMO </t>
  </si>
  <si>
    <t xml:space="preserve">LUIS ANGEL MEZA ROBLES </t>
  </si>
  <si>
    <t>MAYLIN ESMERALDA ESTRADA DANIEL</t>
  </si>
  <si>
    <t>MILDRED GUADALUPE LOPEZ CONTRERAS</t>
  </si>
  <si>
    <t>PERLA ESMERALDA MORALES VALENCIA</t>
  </si>
  <si>
    <t>JOSE FRANCISCO CHAMBERT LOPEZ</t>
  </si>
  <si>
    <t>CESAR SALAZAR QUIHUIS</t>
  </si>
  <si>
    <t>JENNIFER AMAYRANI GARDUÑO GARFIAS</t>
  </si>
  <si>
    <t>ANA GABRIELA LABORIN VILLEGAS</t>
  </si>
  <si>
    <t>PEDRO ORLANDO GAMEZ AGUILAR</t>
  </si>
  <si>
    <t>DELIA ANGELICA FLORES FLORES</t>
  </si>
  <si>
    <t>MARTIN RAFAEL GUERRERO CORRALES</t>
  </si>
  <si>
    <t>OCTAVIO SANCHEZ VELASCO</t>
  </si>
  <si>
    <t>FELIPE GUADALUPE PERALTA FELIX</t>
  </si>
  <si>
    <t>MICHELLE GUADALUPE AHUMADA TANORI</t>
  </si>
  <si>
    <t xml:space="preserve">MARIA JOSSE TANORI AHUMADA </t>
  </si>
  <si>
    <t>CLAUDIA AVELINE RAMOS LUNA</t>
  </si>
  <si>
    <t>CYNTHIA DELIA IBARRA MIRANDA</t>
  </si>
  <si>
    <t xml:space="preserve">MARIA GUADALUPE GARFIAS MEDINA </t>
  </si>
  <si>
    <t>CYNTHIA MARIA ROMO VASQUEZ</t>
  </si>
  <si>
    <t>MIRIAM CECILIA VASQUEZ ARVAYO</t>
  </si>
  <si>
    <t>NANCY GUADALUPE QUINTANAR SESMA</t>
  </si>
  <si>
    <t>ALEJANDRA RODRIGUEZ ALVAREZ</t>
  </si>
  <si>
    <t>SARA LOPEZ MARTINEZ</t>
  </si>
  <si>
    <t>LUIS ANTONIO LOPEZ GUTIERREZ</t>
  </si>
  <si>
    <t>JUSTINA GUADALUPE CONTRERAS MOLINA</t>
  </si>
  <si>
    <t>JESUS GUADALUPE LOPEZ GUTIERREZ</t>
  </si>
  <si>
    <t>JESUS ISMAEL MORALES VALENZUELA</t>
  </si>
  <si>
    <t>LESLIE JOHANNA VALENCIA AMARILLAS</t>
  </si>
  <si>
    <t>CARLOS ALBERTO MORALES VALENZUELA</t>
  </si>
  <si>
    <t>KARLA YADIRA RABAGO AMRILLAS</t>
  </si>
  <si>
    <t>DIANA LIZBETH ROMERO AMARILLAS</t>
  </si>
  <si>
    <t>MARTHA YADIRA LOPEZ MARTINEZ</t>
  </si>
  <si>
    <t>OLIVIA LASO ROMO</t>
  </si>
  <si>
    <t>CESAR ANIBAL SALAZAR GRANILLO</t>
  </si>
  <si>
    <t>DANIELA QUIHUIS CHAIREZ</t>
  </si>
  <si>
    <t>CESAR ADRIAN NAVARRO TRILLAS</t>
  </si>
  <si>
    <t>PBRO. JAVIER DE JESUS GONZALEZ MENDOZA</t>
  </si>
  <si>
    <t xml:space="preserve">MARIA LUISA BADILLA MALDONADO </t>
  </si>
  <si>
    <t>DANIELA KARELLY ENRIQUEZ MORENO</t>
  </si>
  <si>
    <t xml:space="preserve">RAFAEL GILBERTO RODRIGUEZ FIERRO </t>
  </si>
  <si>
    <t>ULISES MIGUEL FLORES GOMEZ</t>
  </si>
  <si>
    <t>ANTONIO CEFERINO CHAMBERT MENDOZA</t>
  </si>
  <si>
    <t>ANA PAULA PLASCENCIA RODRIGUEZ</t>
  </si>
  <si>
    <t>NESTOR MANUEL PLASCENCIA ZUÑIGA</t>
  </si>
  <si>
    <t xml:space="preserve">MARIBEL RODRIGUEZ GOLDEN </t>
  </si>
  <si>
    <t>MARIA DOLORES RODRIGUEZ GOLDEN</t>
  </si>
  <si>
    <t>ANA SOFIA ARVIZU NIEVES</t>
  </si>
  <si>
    <t>JUAN ALBERTO ARVIZU MAGAÑA</t>
  </si>
  <si>
    <t>ANA ELSA NIEVES CHAVEZ</t>
  </si>
  <si>
    <t>MELISSA ARISBETH ACOSTA FIGUEROA</t>
  </si>
  <si>
    <t>ANA VICTORIA RENDON MORENO</t>
  </si>
  <si>
    <t>VICTOR OSWALDO RENDON SANABIA</t>
  </si>
  <si>
    <t>ANA ROSA MORENO BUSTAMANTE</t>
  </si>
  <si>
    <t>KARLA ANABEL FIERROS</t>
  </si>
  <si>
    <t>RICARDO ANDALON BURRUEL</t>
  </si>
  <si>
    <t xml:space="preserve">SAHIRA RUTH VILCHIS </t>
  </si>
  <si>
    <t>CARLOS EDUARDO MANRIQUEZ BORBON</t>
  </si>
  <si>
    <t>CARLOS EDUARDO MANRIQUEZ ARVAYO</t>
  </si>
  <si>
    <t>BERENICE BORBON CURIEL</t>
  </si>
  <si>
    <t>ALREDO BALTAZAR MANRIQUEZ ARVALLO</t>
  </si>
  <si>
    <t>CARLOS MANUEL ROMERO ROBLES</t>
  </si>
  <si>
    <t>CARLOS FRANCISCO ROMERO VILLALOBOS</t>
  </si>
  <si>
    <t>CARMEN KARINA ROBLES CASTRO</t>
  </si>
  <si>
    <t>GRICELDA TREJO VILLALOBOS</t>
  </si>
  <si>
    <t>CAROLINA CABANILLAS RUELAS</t>
  </si>
  <si>
    <t>NORMA LUZ RUELAS  RUIZ</t>
  </si>
  <si>
    <t>MARCELA JANNETT MARQUEZ RUIZ</t>
  </si>
  <si>
    <t>DANIA SOFIA QUIHUIS RODRIGUEZ</t>
  </si>
  <si>
    <t xml:space="preserve">ANABEL RODRIGUEZ GOLDEN </t>
  </si>
  <si>
    <t>DANIEL AMADOR AMADOR</t>
  </si>
  <si>
    <t>CARLOS ALBERTO AMADOR TAMAURA</t>
  </si>
  <si>
    <t>MARIA ELENA AMADOR RIVERA</t>
  </si>
  <si>
    <t xml:space="preserve">AMADOR TAMAURA AGUEDA ESTHER </t>
  </si>
  <si>
    <t>VERONICA ALVAREZ.</t>
  </si>
  <si>
    <t>EMMANUEL BOJORQUEZ CASTRO</t>
  </si>
  <si>
    <t>JOSE ESTEBAN BOJORQUEZ BORGARO</t>
  </si>
  <si>
    <t>ROSA ELDA CASTRO RASCON</t>
  </si>
  <si>
    <t>ALAN ESTEBAN BOJORQUEZ CASTRO</t>
  </si>
  <si>
    <t>ISMAEL DAVID VILLELA MAGALLANES</t>
  </si>
  <si>
    <t>CECILIA VILLELA MAGALLANES</t>
  </si>
  <si>
    <t>JUSTINO ALBERTO GALINDO FLORES</t>
  </si>
  <si>
    <t>IVANNA CHAVEZ GOMEZ</t>
  </si>
  <si>
    <t>GILBERTO CARLOS CHAVEZ IBAR</t>
  </si>
  <si>
    <t>GUADALUPE GOMEZ ROSALES</t>
  </si>
  <si>
    <t>JENNIFER LOPEZ GARCIA</t>
  </si>
  <si>
    <t>HITAI GARCIA CASTRO</t>
  </si>
  <si>
    <t xml:space="preserve">ELIZABETH BASILIA LOPEZ LOPEZ </t>
  </si>
  <si>
    <t>JOSE GILBERTO ZAMORA CANTUA</t>
  </si>
  <si>
    <t>ALAN RENE CANTUA MATUS</t>
  </si>
  <si>
    <t>KAMILA MARTINEZ SANCHEZ</t>
  </si>
  <si>
    <t>GRACIELA LEYVA MUÑOZ</t>
  </si>
  <si>
    <t>MARIA RENEE YAÑEZ MORALES</t>
  </si>
  <si>
    <t>OMAR YAÑEZ MURRIETA</t>
  </si>
  <si>
    <t>NIKSA LEVEDIER MORALES</t>
  </si>
  <si>
    <t xml:space="preserve">MARIANA NYDIA OLIVAS CRUZ </t>
  </si>
  <si>
    <t xml:space="preserve">MARIAN OCHOA RIVERA </t>
  </si>
  <si>
    <t>FRANCISCO JAVIER OCHOA BARRERAS</t>
  </si>
  <si>
    <t>LUZ ELENA RIVERA ESQUER</t>
  </si>
  <si>
    <t>MARTHA JOSEFINA RIVERA ESQUER</t>
  </si>
  <si>
    <t xml:space="preserve">MARIANN MARTINEZ LOPEZ </t>
  </si>
  <si>
    <t xml:space="preserve">HECTOR MARTINEZ GARCIA </t>
  </si>
  <si>
    <t>MARIA DE LOS ANGELES LOPEZ GIL</t>
  </si>
  <si>
    <t>GLORIA MARISA MISQUEZ VILLARREAL</t>
  </si>
  <si>
    <t>ALMA LETICIA BURRUEL CASTRO</t>
  </si>
  <si>
    <t>NATALIA ARMENTA MEDINA</t>
  </si>
  <si>
    <t xml:space="preserve">DAVID ANSELMO ARMENTA GARCIA </t>
  </si>
  <si>
    <t>BLANCA ESTHELA MEDINA FLORES</t>
  </si>
  <si>
    <t>FABIOLA FLORES AVILA</t>
  </si>
  <si>
    <t>NICOLE BURGOS REYES</t>
  </si>
  <si>
    <t>SAIRA ALONDRA ARENAS REYES</t>
  </si>
  <si>
    <t>REGINA IVETH CRUZ JIMENEZ</t>
  </si>
  <si>
    <t>JOSE RAMON CRUZ ORDUÑO</t>
  </si>
  <si>
    <t>MONICA IVETH JIMENEZ LEYVA</t>
  </si>
  <si>
    <t xml:space="preserve">CESAREA OBDULIA CORDOVA GALVEZ </t>
  </si>
  <si>
    <t>RICARDO ADRIAN BALLESTEROS ARVAYO</t>
  </si>
  <si>
    <t xml:space="preserve">HELENE LILIAN BALLESTEROS LEON </t>
  </si>
  <si>
    <t>SOFIA ALEJANDRA ESPINOZA DE LOS MONTEROS WILLIAMS</t>
  </si>
  <si>
    <t>MARIO ALBERTO ESPINOZA DE LOS MONTEROS GONZALEZ</t>
  </si>
  <si>
    <t xml:space="preserve">DENISSE ALEJANDRA WILLIAMS ORNELAS </t>
  </si>
  <si>
    <t>LOCSI CITLALI PALOMARES HONG</t>
  </si>
  <si>
    <t xml:space="preserve">SOFIA JANET SANCHEZ LOPEZ </t>
  </si>
  <si>
    <t>MARCO ANTONIO SANCHEZ RODRIGUEZ</t>
  </si>
  <si>
    <t>JANET LOPEZ ORTIZ</t>
  </si>
  <si>
    <t xml:space="preserve">LIDIA GUADALUPE LOPEZ ORTIZ </t>
  </si>
  <si>
    <t>LUCIO EMILIO  ALVAREZ FELIX</t>
  </si>
  <si>
    <t xml:space="preserve">SAN PIO - ESPECIAL </t>
  </si>
  <si>
    <t xml:space="preserve">FELIPE DE JESUS ALCALA </t>
  </si>
  <si>
    <t>ANDREA BECERRIL GRACIA</t>
  </si>
  <si>
    <t>ANA CAMILA ARMENTA GASTELUM</t>
  </si>
  <si>
    <t>ANGEL ANTONIO ALVARADO MADRID</t>
  </si>
  <si>
    <t>ANGEL DAVID PAZ PESQUEIRA</t>
  </si>
  <si>
    <t>ANGEL OLIVAS RENTERIA</t>
  </si>
  <si>
    <t>CARLOS EDUARDO GARCIA CAMARGO</t>
  </si>
  <si>
    <t>DANIEL VALLES CAMARGO</t>
  </si>
  <si>
    <t xml:space="preserve">DANIELLA VICTORIA VALDEZ CABUTO </t>
  </si>
  <si>
    <t>EMELYN GUADALUPE MANZO ARBALLO</t>
  </si>
  <si>
    <t>EMILIANO RENTERIA LOPEZ</t>
  </si>
  <si>
    <t>EMI CRISTINA AVILA HERRERA</t>
  </si>
  <si>
    <t>EWII MARQUEZ ABARCA</t>
  </si>
  <si>
    <t>GABRIEL DAVID VALENZUELA SALCIDO</t>
  </si>
  <si>
    <t>JANELLE OLIVIA SEGOVIA NEVAREZ</t>
  </si>
  <si>
    <t>JAUDIEL EDUARDO ARVALLO BRAY</t>
  </si>
  <si>
    <t>INNAN CORONADO ELIAS</t>
  </si>
  <si>
    <t>KARINA GONZALEZ BERNAL</t>
  </si>
  <si>
    <t>LUIS ARMANDO DAVILA ALVAREZ</t>
  </si>
  <si>
    <t xml:space="preserve">MARIA JOSE MARTINEZ MURILLO </t>
  </si>
  <si>
    <t>MARIA NATALIA CARRILLO OLEA</t>
  </si>
  <si>
    <t>MARIA SOFIA ALVAREZ AROS</t>
  </si>
  <si>
    <t>MARIA XIMENA IBARRA VALENZUELA</t>
  </si>
  <si>
    <t>MARIANA MONGE ARIZA</t>
  </si>
  <si>
    <t>NATALIA IVANA NAVARRO PERAZA</t>
  </si>
  <si>
    <t>OMAR ALEJANDRO AVILES COTA</t>
  </si>
  <si>
    <t>PAOLA LEYVA ARMENTA</t>
  </si>
  <si>
    <t xml:space="preserve">REGINA PANIAGUA VALENZUELA </t>
  </si>
  <si>
    <t xml:space="preserve">VALERIA IRLANDA DIAZ RAMOS </t>
  </si>
  <si>
    <t>VALERIA HOLGUIN LERMA</t>
  </si>
  <si>
    <t>VICTORIA PONCE SALAZAR</t>
  </si>
  <si>
    <t>SHERLIN ELENA SANCHEZ TAPIA</t>
  </si>
  <si>
    <t>OMAR ARMENTA ESPINOZA</t>
  </si>
  <si>
    <t>ADRIANA ELISA GASTELUM LOPEZ</t>
  </si>
  <si>
    <t>RUBI EDITH LANDEROS PINEDA</t>
  </si>
  <si>
    <t>NARCISO JAVIER BECERRIL MARTINEZ</t>
  </si>
  <si>
    <t>CLAUDIA LETICIA GRACIA</t>
  </si>
  <si>
    <t>LUIS ALFONSO SILVAS CELAYA</t>
  </si>
  <si>
    <t>JOSE ANGEL PAZ BUJANDA</t>
  </si>
  <si>
    <t>MARIA LOURDES PESQUEIRA SENDAY</t>
  </si>
  <si>
    <t>ADOLFO OLIVAS REYES</t>
  </si>
  <si>
    <t>EVA DELIA RENTERIA ENCINAS</t>
  </si>
  <si>
    <t xml:space="preserve">ELVA SUSANA RENTERIA ENCINAS </t>
  </si>
  <si>
    <t>ALICIA CABRERA SANCHEZ</t>
  </si>
  <si>
    <t>CARLOS ANTONIO GARCIA SOTO</t>
  </si>
  <si>
    <t>BEATRIZ ELENA CAMARGO ROMERO</t>
  </si>
  <si>
    <t>BERNARDO ANTONIO PARRA SOTO</t>
  </si>
  <si>
    <t>ALAN DANIEL VALDEZ OROZCO</t>
  </si>
  <si>
    <t>ROSA ISELA CABUTO SOTO</t>
  </si>
  <si>
    <t>ALEJANDRA CABUTO PRECIADO</t>
  </si>
  <si>
    <t>MARTIN MANZO AMPARANO</t>
  </si>
  <si>
    <t>EMELINA ARBALLO JUAREZ</t>
  </si>
  <si>
    <t>MARIA FRANCISCA ARBALLO JUAREZ</t>
  </si>
  <si>
    <t>EDGAR MAURICIO AVILA ALMARAZ</t>
  </si>
  <si>
    <t>AMELIA REBECA HERRERA VALENZUELA</t>
  </si>
  <si>
    <t>MIRNA GUADALUPE CAMACHO LUGO</t>
  </si>
  <si>
    <t>ANA LILIAN SOQUI MURRIETA</t>
  </si>
  <si>
    <t>PATRICIA CABALLERO CELAYA</t>
  </si>
  <si>
    <t>ALVARO RAMON RENTERIA CRUZ</t>
  </si>
  <si>
    <t>VERONICA LOPEZ RUBIO</t>
  </si>
  <si>
    <t>JUAN ARMANDO CLARK RUBIO</t>
  </si>
  <si>
    <t>JUAN MARQUEZ TREJO</t>
  </si>
  <si>
    <t>MARIA ISABEL ESPINOZA CORDOVA</t>
  </si>
  <si>
    <t>GABRIEL SALCIDO LOPEZ</t>
  </si>
  <si>
    <t>MANUEL CORONADO ZUPO</t>
  </si>
  <si>
    <t>MIRNA MARGARITA ELIAS PACHECO</t>
  </si>
  <si>
    <t>VERONICA ELIAS PACHECO</t>
  </si>
  <si>
    <t>ELISEO SEGOVIA GONZALEZ</t>
  </si>
  <si>
    <t>HORTENCIA OLIVIA NEVAREZ LLAMAS</t>
  </si>
  <si>
    <t>ANA MARIA SALAS ROJO</t>
  </si>
  <si>
    <t>OSCAR EDUARDO ARVALLO NEVAREZ</t>
  </si>
  <si>
    <t>OLGA YADIRA ARBALLO NEVAREZ</t>
  </si>
  <si>
    <t>MARITZA GONZALEZ BERNAL</t>
  </si>
  <si>
    <t>NORMA BEATRIZ GARCIA GASTELUM</t>
  </si>
  <si>
    <t>OSCAR ARMANDO DAVILA MURRIETA</t>
  </si>
  <si>
    <t>MARIA EUGENIA ALVAREZ PEÑA</t>
  </si>
  <si>
    <t>NICOLAS VALENCIA FELIX</t>
  </si>
  <si>
    <t>FLAVIO MARTINEZ LOPEZ</t>
  </si>
  <si>
    <t>LOURDES DENNISE MURILLO RIVERA</t>
  </si>
  <si>
    <t>DORA LOURDES RIVERA</t>
  </si>
  <si>
    <t>OSCAR BOWLIN CARRILLO CELAYA</t>
  </si>
  <si>
    <t>MARIELA ESTIBALIZ OLEA NAVARRO</t>
  </si>
  <si>
    <t>EDNA ROSALVA CAMPOS QUIÑONEZ</t>
  </si>
  <si>
    <t>RAFAEL JESUS ALVAREZ MARTINEZ</t>
  </si>
  <si>
    <t>ANA GISELA AROS ARVIZU</t>
  </si>
  <si>
    <t>EDNA GABRIELA LAGARDA MARTINEZ</t>
  </si>
  <si>
    <t>JESUS IVAN IBARRA GARCIA</t>
  </si>
  <si>
    <t>CAROLINA VALENZUELA GIL</t>
  </si>
  <si>
    <t>FERNANDA VALENZUELA GIL</t>
  </si>
  <si>
    <t>KARLA ELIZABETH ARIZA VILLEGAS</t>
  </si>
  <si>
    <t>BEATRIZ ELENA VILLEGAS TRILLAS</t>
  </si>
  <si>
    <t xml:space="preserve">MARIEL ARKHE ALVAREZ MIRANDA </t>
  </si>
  <si>
    <t>ISAI ALVAREZ RAMIREZ</t>
  </si>
  <si>
    <t>ROCIO MIRANDA REYES</t>
  </si>
  <si>
    <t>ESPERANZA REYES TRUJILLO</t>
  </si>
  <si>
    <t xml:space="preserve">OMAR DAMIAN AVILES ORTIZ </t>
  </si>
  <si>
    <t>RENE COTA DEL PARDO</t>
  </si>
  <si>
    <t>RAMONA ESTHER COTA DEL PARDO</t>
  </si>
  <si>
    <t>JOSE VICTOR LEYVA CASTRO</t>
  </si>
  <si>
    <t>ANA CAROLINA ARMENTA ROMERO</t>
  </si>
  <si>
    <t>JOSE MANUEL MADA ARMENTA</t>
  </si>
  <si>
    <t>CESAR PANIAGUA SOLIS</t>
  </si>
  <si>
    <t>MARIA ISELA VALENZUELA ALVAREZ</t>
  </si>
  <si>
    <t>CECILIA GARCIA DE LEON PEÑUÑURI</t>
  </si>
  <si>
    <t xml:space="preserve">BARAQUIEL HOLGUIN FIGUEROA </t>
  </si>
  <si>
    <t>SUSANA IVONE LERMA VALENZUELA</t>
  </si>
  <si>
    <t>JORGE ALBERTO DIAZ FREGOSO</t>
  </si>
  <si>
    <t>VERONICA RAMOS IZAGUIRRE</t>
  </si>
  <si>
    <t>CARLOS OMAR APODACA IBARRA</t>
  </si>
  <si>
    <t>CLAUDIA YANETH PEINADO MORA</t>
  </si>
  <si>
    <t>KARLA MARIA APODACA IBARRA</t>
  </si>
  <si>
    <t>CARMEN CECILIA PONCE MADRID</t>
  </si>
  <si>
    <t>NTRA. SRA. DE LA PAZ - SAMUEL MORALES</t>
  </si>
  <si>
    <t>NTRA. SRA. DE LA PAZ - MARIA  NELIDA</t>
  </si>
  <si>
    <t>TOMAS ALBERTO JOVANY GUZMAN BRITO</t>
  </si>
  <si>
    <t>MARIA EVA ROBLES ZUÑIGA</t>
  </si>
  <si>
    <t>LILIA GUADALUPE GUTIERREZ MELENDREZ</t>
  </si>
  <si>
    <t>RIGOBERTO HERNANDEZ RUBIO</t>
  </si>
  <si>
    <t>RENATA ISABELLA GUZMAN ROBLES</t>
  </si>
  <si>
    <t>NTRA SRA DE LA PAZ - MAYRA MENDIVIL</t>
  </si>
  <si>
    <t>NTRA SRA DE LA PAZ -  MARIBEL RODRIGUEZ</t>
  </si>
  <si>
    <t>HABEILYN GUADALUPE GUTIERREZ OCHOA</t>
  </si>
  <si>
    <t xml:space="preserve">SANDRA ALICIA ROBLES ESQUER  </t>
  </si>
  <si>
    <t>ANA VICTORIA SANCHEZ PAEZ</t>
  </si>
  <si>
    <t>ANDER ACOSTA CAMACHO</t>
  </si>
  <si>
    <t>OMAR FRANCISCO ACOSTA MARTINEZ</t>
  </si>
  <si>
    <t>ANGEL LUIS FLORES VAZQUEZ</t>
  </si>
  <si>
    <t>ANGEL HUMBERTO FLORES SOTO</t>
  </si>
  <si>
    <t>MARIA MONICA VAZQUEZ VALDEZ</t>
  </si>
  <si>
    <t>JESUS ELMER COTA VALENCIA</t>
  </si>
  <si>
    <t>DANIELA MICHELLE GONZALEZ LARA</t>
  </si>
  <si>
    <t>LAZARO MANUEL GONZALEZ ANDRADE</t>
  </si>
  <si>
    <t>CLARA AIME LARA LOPEZ</t>
  </si>
  <si>
    <t>CLARA BEATRIZ LOPEZ LARA</t>
  </si>
  <si>
    <t>BIANCA PIMENTEL GASTELUM</t>
  </si>
  <si>
    <t>SALVADOR PIMENTEL ORDAZ</t>
  </si>
  <si>
    <t>CONCEPCION GASTELUM PICO</t>
  </si>
  <si>
    <t>ERIKA GAONA VAZQUEZ</t>
  </si>
  <si>
    <t>CAMILA ESTEFANY ARAIZA JUAREZ</t>
  </si>
  <si>
    <t>OSCAR ABRAHAM ARAIZA VALENCIA</t>
  </si>
  <si>
    <t>MARIA CRISTINA JUAREZ QUINTERO</t>
  </si>
  <si>
    <t>JOCELYNE GUERRA RUIZ</t>
  </si>
  <si>
    <t>DIANE ANGELICA ROMERO AGUILAR</t>
  </si>
  <si>
    <t>OMAR CAIN ROMERO CASTRO</t>
  </si>
  <si>
    <t>FRANCISCA ROMERO CASTRO</t>
  </si>
  <si>
    <t>DIEGO DALI BARRAZA SANDOVAL</t>
  </si>
  <si>
    <t>DANTE ALBERTO BARRAZA ARVIZU</t>
  </si>
  <si>
    <t>CLAUDIA PATRICIA SANDOVAL PIZA</t>
  </si>
  <si>
    <t>ERICKA VALENTINA SUAREZ FIMBRES</t>
  </si>
  <si>
    <t>GUADALUPE SORIANO CASTILLO</t>
  </si>
  <si>
    <t>IVANNA MEDINA MUNGUIA</t>
  </si>
  <si>
    <t>JAIR ALBERTO TORRES FELIX</t>
  </si>
  <si>
    <t>JAIR ALBERTO TORRES BALDERRAMA</t>
  </si>
  <si>
    <t>CLARA GUADALUPE FELIX GIL</t>
  </si>
  <si>
    <t>MARIA GUADALUPE GIL ESTRELLA</t>
  </si>
  <si>
    <t>JOSE ALBERTO LOPEZ PARRA</t>
  </si>
  <si>
    <t>XOCHITL ANGELICA ROJAS PARRA</t>
  </si>
  <si>
    <t>LITZI YANIZAN FLORES VAZQUEZ</t>
  </si>
  <si>
    <t>LUIS ALEJANDRO CASTRO LOPEZ</t>
  </si>
  <si>
    <t>LUIS ARMANDO VILLALBA BARRON</t>
  </si>
  <si>
    <t>MAXIMILIANO PIMENTEL GASTELUM</t>
  </si>
  <si>
    <t>MICHEL XIMENA ALVARADO PARTIDA</t>
  </si>
  <si>
    <t xml:space="preserve">SANTIAGO ENRIQUEZ ANDALON </t>
  </si>
  <si>
    <t>GRISELDA VAZQUEZ VALDEZ</t>
  </si>
  <si>
    <t>LUIS ENRIQUE CASTRO ZAMORA</t>
  </si>
  <si>
    <t>MARTHA VIANEY LOPEZ CARRANZA</t>
  </si>
  <si>
    <t>VICTORIA MADAI LOPEZ CARRANZA</t>
  </si>
  <si>
    <t>FRANCISCO OCTAVIO VILLALBA ROMERO</t>
  </si>
  <si>
    <t>MONICA ISABEL BARRON JAIME</t>
  </si>
  <si>
    <t>ERNESTO VELAZQUEZ ROMERO</t>
  </si>
  <si>
    <t>ORLANDO ZENDEJAS RANGEL</t>
  </si>
  <si>
    <t xml:space="preserve">KARLA MARIA ESQUER </t>
  </si>
  <si>
    <t xml:space="preserve">SALVADOR  PIMENTEL </t>
  </si>
  <si>
    <t>CONCEPCION  GASTELUM</t>
  </si>
  <si>
    <t>HUMBERTO GASTELUM ALCARAZ</t>
  </si>
  <si>
    <t>MANUEL ALBERTO ALVARADO MUÑOZ</t>
  </si>
  <si>
    <t>GUADALUPE PARTIDA VALENCIA</t>
  </si>
  <si>
    <t>FRANCISCO ELEAZAR  ENRIQUEZ SANTELIZ</t>
  </si>
  <si>
    <t>HAYDEE ANDALON AGUILA</t>
  </si>
  <si>
    <t>KARINA CONSUELO ANDALON AGUILA</t>
  </si>
  <si>
    <t>MA. DEL SOCORRO BRAY BRACAMONTES</t>
  </si>
  <si>
    <t>ADRIANA GUADALUPE LOPEZ BADILLA</t>
  </si>
  <si>
    <t>XIMENA LOPEZ MUNGUIA</t>
  </si>
  <si>
    <t>MIRELL GRACIA MOLINA</t>
  </si>
  <si>
    <t>LUIS ESTEBAN GRACIA SANCHEZ</t>
  </si>
  <si>
    <t>MONICA MISHELL GRACIA MOLINA</t>
  </si>
  <si>
    <t>VICTORIA APODACA</t>
  </si>
  <si>
    <t>ANGELICA MARIA AGUILAR BOJORQUEZ</t>
  </si>
  <si>
    <t>ALEJANDRA HOLGUIN TRUJILLO</t>
  </si>
  <si>
    <t>ALLAN FIGUEROA URIAS</t>
  </si>
  <si>
    <t xml:space="preserve">ALAN FIGUEROA VILLAVICENCIO </t>
  </si>
  <si>
    <t>KARLA ERNESTINA URIAS PAZ</t>
  </si>
  <si>
    <t>COSME FIGUEROA VILLAVICENCIO</t>
  </si>
  <si>
    <t>LAURA PATRICIA GASTELUM GARCIA</t>
  </si>
  <si>
    <t>AXEL FIGUEROS URIAS</t>
  </si>
  <si>
    <t>JUAN ALCALA DORAME</t>
  </si>
  <si>
    <t>ROSARIO GUADALUPE GALAZ VALDEZ</t>
  </si>
  <si>
    <t>OMAR ENRIQUE VILLARRUEL VELAZCO</t>
  </si>
  <si>
    <t>LISETH ALEJANDRA VILLARRUEL VELAZCO</t>
  </si>
  <si>
    <t>HECTOR EDUARDO OROZCO MENDEZ</t>
  </si>
  <si>
    <t xml:space="preserve">JESUS ALFONSO OROZCO ZOKY </t>
  </si>
  <si>
    <t>ERENDIDA LORENA MENDEZ PEÑA</t>
  </si>
  <si>
    <t>KASSANDRA ACUÑA MENDEZ</t>
  </si>
  <si>
    <t>JADE ADRIANA CADILLO BORBON</t>
  </si>
  <si>
    <t xml:space="preserve">ROSELINE CADILLO BORBON </t>
  </si>
  <si>
    <t>LORENA ANAHI LAUREANO AMARILLAS</t>
  </si>
  <si>
    <t>VICTORIA RAMOS RUIZ</t>
  </si>
  <si>
    <t>JACOB DANIEL RAMOS PLASCENCIA</t>
  </si>
  <si>
    <t>SANDRA IVONNE RUIZ PRECIADO</t>
  </si>
  <si>
    <t>KARLA MELINA MARDUEÑO ZAMBADA</t>
  </si>
  <si>
    <t>ROBERTO FIGUEROA PRECIADO</t>
  </si>
  <si>
    <t>CAMILA REYES ARMENTA</t>
  </si>
  <si>
    <t xml:space="preserve">CHANDLER ARIZONA </t>
  </si>
  <si>
    <t xml:space="preserve">ERICK REYES BARRIENTOS </t>
  </si>
  <si>
    <t xml:space="preserve">MARISOL ARMENTA VARELA </t>
  </si>
  <si>
    <t xml:space="preserve">JESUS ERNESTO SALCIDO NOGALES </t>
  </si>
  <si>
    <t xml:space="preserve">NATALY ALEJANDRA ARMENTA VARELA </t>
  </si>
  <si>
    <t>ALFONSO MONGE SALAZAR</t>
  </si>
  <si>
    <t>MARIA DOLORES BECERRA SANCHEZ</t>
  </si>
  <si>
    <t>MARIA VALERIA ZENDEJAS ESQUER</t>
  </si>
  <si>
    <t>NTRA. SRA. DE LA PAZ -  ADULTO</t>
  </si>
  <si>
    <t>CESAR GUADALUPE MANJARREZ MARISCAL</t>
  </si>
  <si>
    <t>JUAN NEPOMUSENO MANJARREZ</t>
  </si>
  <si>
    <t>MARIA TRINIDAD MARISCAL DE MANJARREZ</t>
  </si>
  <si>
    <t xml:space="preserve">FRANCISCO ALBERTO ALVAREZ ZEPEDA </t>
  </si>
  <si>
    <t>BRYAN ALAN GARCIA QUIJADA</t>
  </si>
  <si>
    <t>BRYAN ALAN GARCIA CORRAL</t>
  </si>
  <si>
    <t>PERLA ABIGAIL QUIJADA AMPARANO</t>
  </si>
  <si>
    <t>ISIDRA CORRAL LION</t>
  </si>
  <si>
    <t>PAVEL  Y  DOLORES FABIOLA</t>
  </si>
  <si>
    <t>ANA VERONICA PARRA COLORES</t>
  </si>
  <si>
    <t>NATALY PEÑA BERNAL</t>
  </si>
  <si>
    <t>YADIRA GUADALUPE PARRA COLORES</t>
  </si>
  <si>
    <t>FRANCISCA LUKSO</t>
  </si>
  <si>
    <t>NOTA: SOLO TECLEAR EN LA COLUMNA A1 EL NUMERO CORRESPONDA EN LA HOJA MATRIMONIO</t>
  </si>
  <si>
    <t>OCTAVIO Y DANIELA</t>
  </si>
  <si>
    <t>SALVADOR FLORES SOTO</t>
  </si>
  <si>
    <t>PATRICIA ACOSTA QUEZADA</t>
  </si>
  <si>
    <t>MIGUEL ANGEL MUÑOZ</t>
  </si>
  <si>
    <t>IRAZEMA J. GONZALEZ DE MUÑOZ</t>
  </si>
  <si>
    <t>IRLANDA AIRANNI</t>
  </si>
  <si>
    <t>JAVIER GARDUÑO REYES</t>
  </si>
  <si>
    <t>GUADALUPE IRLANDA QUEVEDO GARCIA</t>
  </si>
  <si>
    <t>TRINIDAD GUADALUPE MONTES FLORES</t>
  </si>
  <si>
    <t>DAYRA LIZANIA MURRIETA GARCIA</t>
  </si>
  <si>
    <t>THAILY KARIME BEJARANO FIERRO</t>
  </si>
  <si>
    <t>CULIACAN SINALOA</t>
  </si>
  <si>
    <t>KARINA ASUCENA FIERRO RAMIREZ</t>
  </si>
  <si>
    <t>CRISTIAN BEJARANO ANGULO</t>
  </si>
  <si>
    <t>KATIA SELENE BEJARANO ANGULO</t>
  </si>
  <si>
    <t>LUA VIOLETA LANDA ROMO</t>
  </si>
  <si>
    <t>LEONARDO LANDA ACOSTA</t>
  </si>
  <si>
    <t>VIOLETA CECILIA ROMO AGARCIA</t>
  </si>
  <si>
    <t>ANAY LANDA ACOSTA</t>
  </si>
  <si>
    <t>MARIA FERNANDA ROMO GARCIA</t>
  </si>
  <si>
    <t>MARIA VALENTINA SALAS CORRAL</t>
  </si>
  <si>
    <t>JESUS RAMON SALAS NIDO</t>
  </si>
  <si>
    <t xml:space="preserve">MARISA DAFNE CORRAL RUEDA </t>
  </si>
  <si>
    <t>CARLOS OMAR AMADOR SOTO</t>
  </si>
  <si>
    <t>JASMIN TERESITA SALAS NIDO</t>
  </si>
  <si>
    <t>MARCOS ANTONIO BEJARANO ANGULO</t>
  </si>
  <si>
    <t>JORGE ALBERTO Y  LILIANA CAROLINA</t>
  </si>
  <si>
    <t>JESUS FERNANDO ALDECOA CORDOVA</t>
  </si>
  <si>
    <t xml:space="preserve">SONYA MARIBEL CAMPOY GAMEZ </t>
  </si>
  <si>
    <t>RAMON ALFONSO VILLA NEVAREZ</t>
  </si>
  <si>
    <t>MARCELA MARTINEZ MUÑOZ</t>
  </si>
  <si>
    <t>ZAID ILDEFONSO GALAVIZ SANTANA</t>
  </si>
  <si>
    <t>JESUS ALBERTO GALAVIZ VALDEZ</t>
  </si>
  <si>
    <t>MAYRA SANTANA GARDUÑO</t>
  </si>
  <si>
    <t>SAUL ARMANDO VILLALPANDO SANTOS</t>
  </si>
  <si>
    <t>CARLOS ARMANDO VILLALPANDO SESMA</t>
  </si>
  <si>
    <t>MABEL ALEJANDRA SANTOS ESPINOZA</t>
  </si>
  <si>
    <t>SALVADOR SILVAS MARTINEZ</t>
  </si>
  <si>
    <t xml:space="preserve">CINTHIA DAHENA VARELA GARCIA </t>
  </si>
  <si>
    <t>GABRIEL REFUGIO Y ERIKA GUADALUPE</t>
  </si>
  <si>
    <t>ISMAEL SEPULVEDA SOLIS</t>
  </si>
  <si>
    <t>OFELIA DURAZO ZAMORA</t>
  </si>
  <si>
    <t>JAVIER VILLARREAL LOPEZ</t>
  </si>
  <si>
    <t>BEATRIZ GASCA SANCHEZ</t>
  </si>
  <si>
    <t>NICOLAS RAFAEL RAMIREZ GRIJALVA</t>
  </si>
  <si>
    <t xml:space="preserve">RAFAEL RAMIREZ VALDEZ </t>
  </si>
  <si>
    <t>ALEJANDRA GRIJALVA MUÑOZ</t>
  </si>
  <si>
    <t>REY DAVID RAMIREZ VALDEZ</t>
  </si>
  <si>
    <t>KARLA MORALES MUÑOZ</t>
  </si>
  <si>
    <t>ALEJANDRO CORONADO VAZQUEZ</t>
  </si>
  <si>
    <t>ALEJANDRO CORONADO ESPINOZA</t>
  </si>
  <si>
    <t>DENISSE ABIGAIL VAZQUEZ PEREZ</t>
  </si>
  <si>
    <t>EMILIO ALONSO NAPOLES PEREZ</t>
  </si>
  <si>
    <t xml:space="preserve">LIZETH PAOLA SONOQUI LOPEZ </t>
  </si>
  <si>
    <t>FRANCISCO JAVIER Y MARIA DOLORES</t>
  </si>
  <si>
    <t>ERIKA MARIA MONTAÑO CARBAJAL</t>
  </si>
  <si>
    <t>ISMAEL HORACIO ASSALIA JACOTT</t>
  </si>
  <si>
    <t>MANUEL ELIAS MERCADO ALVARADO</t>
  </si>
  <si>
    <t>PATRICIA GUADALUPE NAVARRO ROBLES</t>
  </si>
  <si>
    <t>ANA YAMMILETH CASAS ANDRADE</t>
  </si>
  <si>
    <t>DAMIAN ALEXANDER CAÑEZ CHAVEZ</t>
  </si>
  <si>
    <t>DAMIAN CAÑEZ NORIEGA</t>
  </si>
  <si>
    <t>ALMA JUDITH CHAVEZ QUEZADA</t>
  </si>
  <si>
    <t>PEDRO LUIS CASTILLO LEON</t>
  </si>
  <si>
    <t>CECILIA LEON BERNAL</t>
  </si>
  <si>
    <t xml:space="preserve">NATHALY LOPEZ LEON </t>
  </si>
  <si>
    <t>JONATHAN AARON LOPEZ MARTINEZ</t>
  </si>
  <si>
    <t>RITA LILIANA LEON HIDALGO</t>
  </si>
  <si>
    <t>JOSE VALENZUELA ACUÑA</t>
  </si>
  <si>
    <t>JAZMIN LIZETH HIDALGO HERNANDEZ</t>
  </si>
  <si>
    <t>ISAID RENE LUZANIA LEDGARD</t>
  </si>
  <si>
    <t>JOSE RENE LUZANIA GAMEZ</t>
  </si>
  <si>
    <t>MICHELLE VIRIDIANA LEDGARD ACUÑA</t>
  </si>
  <si>
    <t>MARIO ALAN LEDGARD ACUÑA</t>
  </si>
  <si>
    <t>MONICA VIANCA LUZANIA GAMEZ</t>
  </si>
  <si>
    <t>JOEL FERNANDO CORRAL GAONA</t>
  </si>
  <si>
    <t>JOSE FERNANDO CORRAL GADEA</t>
  </si>
  <si>
    <t>DANIEL ANTONIO MORENO RIOS</t>
  </si>
  <si>
    <t>ROBERTA ALEJANDRA ROCHA RODRIGUEZ</t>
  </si>
  <si>
    <t>JOELIZ ANDREYNA  GAONA HARO</t>
  </si>
  <si>
    <t>BAUTIZOS DEL 2025</t>
  </si>
  <si>
    <t>EMMANUEL VARGAS RODRIGUEZ</t>
  </si>
  <si>
    <t>EDGAR MANUEL VARGAS MENDOZA</t>
  </si>
  <si>
    <t xml:space="preserve">MARIA PAULINA RODRIGUEZ LARA </t>
  </si>
  <si>
    <t>ALEJANDRO VARGAS MENDOZA</t>
  </si>
  <si>
    <t>ANA MARIA GONZALEZ ARMENTA</t>
  </si>
  <si>
    <t>MARIA JOSE SANCHEZ ROSAS</t>
  </si>
  <si>
    <t>JOSE ADOLFO SANCHEZ SIQUEIROS</t>
  </si>
  <si>
    <t>NORMA ROSAS VALENZUELA</t>
  </si>
  <si>
    <t>LEONEL GONZALEZ CORNEJO</t>
  </si>
  <si>
    <t>LORENIA CAZARES VALENZUELA</t>
  </si>
  <si>
    <t>MARTIN Y GLORIA PAZ</t>
  </si>
  <si>
    <t>HECTOR MARTINEZ GARCIA</t>
  </si>
  <si>
    <t xml:space="preserve">LUIS FRANCISCO DEL REAL VEGA </t>
  </si>
  <si>
    <t xml:space="preserve">OFELIA BARRAZA HOYOS </t>
  </si>
  <si>
    <t>GEORGINA AMAYA GONZALEZ</t>
  </si>
  <si>
    <t>DIEGO VALENTE AMAYA TRUJILLO</t>
  </si>
  <si>
    <t>EDISA GEORGINA GONZALEZ ALMADA</t>
  </si>
  <si>
    <t>ORLANDO RIOS MENDIVIL</t>
  </si>
  <si>
    <t>ILIA SUHEI GONZALEZ ALMADA</t>
  </si>
  <si>
    <t>JESUS EMILIANO ROJO BRACAMONTE</t>
  </si>
  <si>
    <t>JESUS MARTIN ROJO RUELAS</t>
  </si>
  <si>
    <t>GENESIS RUBY BRACAMONTE ARVIZU</t>
  </si>
  <si>
    <t>JUAN FRANCISCO ROJO RUELAS</t>
  </si>
  <si>
    <t>ITZEL GUADALUPE RUIZ DANIEL</t>
  </si>
  <si>
    <t>MARTIN GUILLERMO Y MIRZA</t>
  </si>
  <si>
    <t>JOSE ANTONIO VEGA</t>
  </si>
  <si>
    <t>ALEJANDRA VEGA</t>
  </si>
  <si>
    <t>NAOMI ALEXANDRA QUINTERO CASTILLO</t>
  </si>
  <si>
    <t xml:space="preserve">ABRIL </t>
  </si>
  <si>
    <t>ADRIAN ALEJANDRO QUINTERO AGUIRRE</t>
  </si>
  <si>
    <t>BRENDA LIZETH CASTILLO VALENZUELA</t>
  </si>
  <si>
    <t>YOLANDA VALENZUELA ALVARADO</t>
  </si>
  <si>
    <t>FRANCISCO CARLOS CASTILLO SALCIDO</t>
  </si>
  <si>
    <t>ANA PAULA CABANILLAS ORTIZ</t>
  </si>
  <si>
    <t>GUADALUPE CABANILLAS SAVEEDRA</t>
  </si>
  <si>
    <t>ANA GABRIELA ORTIZ RIOS</t>
  </si>
  <si>
    <t>FRANCISCO MANUEL AMARAL BRACAMONTE</t>
  </si>
  <si>
    <t>CARMEN ANDREA ORTIZ RIOS</t>
  </si>
  <si>
    <t>BARBARA ATONDO MOLINA</t>
  </si>
  <si>
    <t>JOSE ALFREDO ATONDO PEREA</t>
  </si>
  <si>
    <t>YASMIN ESMERALDA MOLINA GONZALEZ</t>
  </si>
  <si>
    <t>SEBASTIAN PEREA CONTRERAS</t>
  </si>
  <si>
    <t>ALEXIS LUCIA GONZALEZ LOPEZ</t>
  </si>
  <si>
    <t>NUESTRA SEÑORA DE LA PAZ 2025 -  ADULTO</t>
  </si>
  <si>
    <t>ROCIO ADRIANA LEAL ELENO</t>
  </si>
  <si>
    <t>FERNANDO LEAL F.</t>
  </si>
  <si>
    <t>GUADALUPE ELENO</t>
  </si>
  <si>
    <t>CRISTINA ELENO JIMENEZ</t>
  </si>
  <si>
    <t>ANNA LUCIA YAÑEZ AVILES</t>
  </si>
  <si>
    <t>SAUL YAÑEZ CANIZALEZ</t>
  </si>
  <si>
    <t xml:space="preserve">CYNTHIA KARINA AVILES CORDOVA </t>
  </si>
  <si>
    <t>RONALD OSUNA ARDINEZ</t>
  </si>
  <si>
    <t>RUTH ALEJANDRA MOLINA BALLESTEROS</t>
  </si>
  <si>
    <t>CRISTOPHER LUCA LEON VALENZUELA</t>
  </si>
  <si>
    <t>OSCAR JAVIER LEON VALDEZ</t>
  </si>
  <si>
    <t>CINTHYA ALEJANDRA VALENZUELA LEON</t>
  </si>
  <si>
    <t>JORGE ERVEY RODRIGUEZ VALENZUELA</t>
  </si>
  <si>
    <t>ANDREA NAYELI VALENZUELA VALENZUELA</t>
  </si>
  <si>
    <t>ANA PAULA NAVARRO ROBLES</t>
  </si>
  <si>
    <t>CARLOS SANTIAGO VILLALPANDO SANTOS</t>
  </si>
  <si>
    <t>DANIELA ROBLES MARQUEZ</t>
  </si>
  <si>
    <t>MABEL  ALEJANDRA SANTOS ESPINOZA</t>
  </si>
  <si>
    <t>ANA CECILIA VILLALPANDO PERAZA</t>
  </si>
  <si>
    <t xml:space="preserve">DIEGO AMADOR AMADOR </t>
  </si>
  <si>
    <t>OYUKI MARIA GAMA MADRID</t>
  </si>
  <si>
    <t xml:space="preserve">DEMIAN BARCELO CAMARENA </t>
  </si>
  <si>
    <t>JESUS MANUEL BARCELO MACIAS</t>
  </si>
  <si>
    <t>GEMA MARIA CAMARENA VEGA</t>
  </si>
  <si>
    <t>YOLANDA KARINA SANCHEZ AMARAL</t>
  </si>
  <si>
    <t>LIA ARVAYO OJEDA</t>
  </si>
  <si>
    <t>MARIA FERNANDA OJEDA DUARTE</t>
  </si>
  <si>
    <t>REGINA GARCIA CALDERON</t>
  </si>
  <si>
    <t>REGINA HERNANDEZ RUIZ</t>
  </si>
  <si>
    <t>OSVALDO HERNANDEZ RAMIREZ</t>
  </si>
  <si>
    <t>LIZBETH PAOLA RUIZ CORNEJO</t>
  </si>
  <si>
    <t>ANA MARIA CORNEJO GONZALEZ</t>
  </si>
  <si>
    <t>ROCIO TORRECILLAS ACEDO</t>
  </si>
  <si>
    <t>ALMA ANGELICA TORRECILLAS GARZA</t>
  </si>
  <si>
    <t>SOFIA RODRIGUEZ SANDOVAL</t>
  </si>
  <si>
    <t>CARLOS ALBERTO RODRIGUEZ HERNANDEZ</t>
  </si>
  <si>
    <t>GUADALUPE MARIA RODRIGUEZ HERNANDEZ</t>
  </si>
  <si>
    <t>JESUS EL SEÑOR - 24 DE MAYO DEL 2025 - 10:00 AM</t>
  </si>
  <si>
    <t>JORGE ELEODORO GOMEZ VALDEZ</t>
  </si>
  <si>
    <t>MARIA DEL CARMEN VALDEZ RAMIREZ</t>
  </si>
  <si>
    <t>ANA FERNANDA QUIJADA DIAZ</t>
  </si>
  <si>
    <t>GLORIA CECILIA DIAZ MARTINEZ</t>
  </si>
  <si>
    <t>ANA VICTORIA SOTO ZAMARRIPA</t>
  </si>
  <si>
    <t>LUIS GUILLERMO SOTO RODRIGUEZ</t>
  </si>
  <si>
    <t>IRIANA FRANCELIA ZAMARRIPA CASTRO</t>
  </si>
  <si>
    <t>PATRICIA YOLANDA SOTO MONTENEGRO</t>
  </si>
  <si>
    <t>ABRAHAM BRACAMONTES DOMINGUEZ</t>
  </si>
  <si>
    <t>LEOPOLDO BRACAMONTES BRICEO</t>
  </si>
  <si>
    <t>SAYDA DANIELA DOMINGUEZ HERNANDEZ</t>
  </si>
  <si>
    <t>VALERIA EDUWIGES VERDUZCO FIERROS</t>
  </si>
  <si>
    <t xml:space="preserve">ERNESTO PERAZA TAMAYO </t>
  </si>
  <si>
    <t>ERNESTO PERAZA CARVAJAL</t>
  </si>
  <si>
    <t>SANDRA OLIVIA TAMAYO ARMENTA</t>
  </si>
  <si>
    <t>LUIS ALFONSO GARCIA DURAZO</t>
  </si>
  <si>
    <t>ESTEBAN RAMIREZ PAZ</t>
  </si>
  <si>
    <t>ARNOLDO PAZ GAUTRIN</t>
  </si>
  <si>
    <t>JOSE EDUARDO DIAZ VASQUEZ</t>
  </si>
  <si>
    <t>JOSE LUIS DIAZ VALENZUELA</t>
  </si>
  <si>
    <t>CAROLINA VASQUEZ OCHOA</t>
  </si>
  <si>
    <t>LUIS EDUARDO DIAZ VALENZUELA</t>
  </si>
  <si>
    <t>LUCAS ADOLFO MENDIVIL NAVA</t>
  </si>
  <si>
    <t xml:space="preserve">ADOLFO MENDIVIL GARCIA </t>
  </si>
  <si>
    <t>BEATRIZ ADRIANA NAVA NIEVES</t>
  </si>
  <si>
    <t>MARIA DE LOS ANGELES GARCIA MARTINEZ</t>
  </si>
  <si>
    <t>PAUL ARMENTA ALMADA</t>
  </si>
  <si>
    <t>PAUL ARMENTA LERMA</t>
  </si>
  <si>
    <t>YERANIA ALMADA ALVAREZ</t>
  </si>
  <si>
    <t>ROXANA ALMADA VALENZUELA</t>
  </si>
  <si>
    <t>LUIS MIGUEL EROZA ALVAREZ</t>
  </si>
  <si>
    <t>GABRIELA TERAN FELIX</t>
  </si>
  <si>
    <t>ANA ELISA MEDRANO MARTINEZ</t>
  </si>
  <si>
    <t>LUSIANA SANCHEZ  VALENZUELA</t>
  </si>
  <si>
    <t>VLADIMIR SANCHEZ VALENZUELA</t>
  </si>
  <si>
    <t>DORISELA GONZALEZ VALENZUELA</t>
  </si>
  <si>
    <t>DORISELA VALENZUELA PEREYRA</t>
  </si>
  <si>
    <t>VALERIA EROZA TERAN</t>
  </si>
  <si>
    <t>IVANNA KARINA OROZCO SANCHEZ</t>
  </si>
  <si>
    <t>LAURA MARIA SANDOVAL MAZAON</t>
  </si>
  <si>
    <t>JOSE MANUEL QUIJADA CASTRO</t>
  </si>
  <si>
    <t>GISELA FERNANDA DIAZ MARTINEZ</t>
  </si>
  <si>
    <t>ABBY VALERIA GOMEZ AVILES</t>
  </si>
  <si>
    <t>LILIA EUGENIA AVILES VALDEZ</t>
  </si>
  <si>
    <t>EDITH PEREZ LOPEZ</t>
  </si>
  <si>
    <t>MANUEL CAMPOS SALGADO</t>
  </si>
  <si>
    <t>LA PAZ, BAJA CLIFOTNIA SUR</t>
  </si>
  <si>
    <t>MANUEL CAMPOS ESTRADA</t>
  </si>
  <si>
    <t>GUADALUPE SALGADO DE CAMPOS</t>
  </si>
  <si>
    <t xml:space="preserve"> CD. OBREGON, SONORA</t>
  </si>
  <si>
    <t>CRUZ QUINTANA</t>
  </si>
  <si>
    <t xml:space="preserve">RAMONA ZARATE </t>
  </si>
  <si>
    <t>TERESA DE JESUS QUINTANA ZARATE</t>
  </si>
  <si>
    <t>CERTIFICADO DE CONFIRMACION 2025</t>
  </si>
  <si>
    <t>JUANA VALERIO VEGA</t>
  </si>
  <si>
    <t>ISAAC Y PERLA KARITZA</t>
  </si>
  <si>
    <t>LUIS MATIAS DE LA VARA ROBLES</t>
  </si>
  <si>
    <t>LAURA ELENA GRIJALVA HARO</t>
  </si>
  <si>
    <t>ARTUTO ANASTACIO REYNA CASTRO</t>
  </si>
  <si>
    <t>ANABEL SOLORZANO DREW</t>
  </si>
  <si>
    <t>GUILLERMO RIVAS FENECH</t>
  </si>
  <si>
    <t>ISIDRA CECILIA MACHADO ROMO</t>
  </si>
  <si>
    <t>VERACRUZ, VERACRUZ</t>
  </si>
  <si>
    <t>CAMILO PEREZ TRINIDAD</t>
  </si>
  <si>
    <t>PETRONA LOPEZ RAMIREZ</t>
  </si>
  <si>
    <t>ALINE FERNANDA GONZALEZ AVILA</t>
  </si>
  <si>
    <t>ANA VICTORIA VALENZUELA MANRIQUEZ</t>
  </si>
  <si>
    <t>CESAR ISAIAS MUÑOZ DUEÑAS</t>
  </si>
  <si>
    <t>DAMIAN EDEL RASCON CARDENAS</t>
  </si>
  <si>
    <t>EMILIANO MERCADO SEAMAN</t>
  </si>
  <si>
    <t>ESTEPHANYA REYES ORTIZ</t>
  </si>
  <si>
    <t xml:space="preserve">FRANCISCO ADRIAN GALLEGOS SOTO </t>
  </si>
  <si>
    <t>JOSE MIGUEL VALENZUELA MORENO</t>
  </si>
  <si>
    <t>MARIA REGINA DELGADO GRAJEDA</t>
  </si>
  <si>
    <t>MARIANA CORDOVA REYES</t>
  </si>
  <si>
    <t>MARIO GAXIOLA TIZNADO</t>
  </si>
  <si>
    <t>MAXIMILIANO RABAGO ACOSTA</t>
  </si>
  <si>
    <t>MIRANDA SOTO ESQUER</t>
  </si>
  <si>
    <t>RENATA MICHELLE CARDENAS CASTILLO</t>
  </si>
  <si>
    <t>SEBASTIAN ALEXIS GONZALEZ LOPEZ</t>
  </si>
  <si>
    <t>SEBASTIAN ARREOLA DURAZO</t>
  </si>
  <si>
    <t>VENTURA GARCIA GONZALEZ</t>
  </si>
  <si>
    <t>PALOMA GALVEZ IÑIGO</t>
  </si>
  <si>
    <t>JESUS RICARDO VALENZUELA OLIVAS</t>
  </si>
  <si>
    <t>KAREN LIZETH MANRIQUEZ SANCHEZ</t>
  </si>
  <si>
    <t>JOSE ALLAN GONZALEZ REALIVASQUEZ</t>
  </si>
  <si>
    <t>MARIA DEL CARMEN AVILA NAVARRO</t>
  </si>
  <si>
    <t>CESAR OCTAVIO MUÑOZ MEDINA</t>
  </si>
  <si>
    <t>FATIMA FABIOLA DUEÑAS SALAZAR</t>
  </si>
  <si>
    <t>ADRIEL EDEL RASCON RIVAS</t>
  </si>
  <si>
    <t>YURIDIA LILIANA CARDENAS RAMOS</t>
  </si>
  <si>
    <t>JOSE DE JESUS REYES AGUAYO</t>
  </si>
  <si>
    <t>LIZETTE ESTEFANY ORTIZ GAMEZ</t>
  </si>
  <si>
    <t>FRANCISCO ADRIAN GALLEGOS GONZALEZ</t>
  </si>
  <si>
    <t>ALMA CARIN SOTO ESPINOZA</t>
  </si>
  <si>
    <t>JOSE MIGUEL VALENZUELA RUIZ</t>
  </si>
  <si>
    <t>ARELY GUADALUPE MORENO ACOSTA</t>
  </si>
  <si>
    <t>LUIS GUILLERMO CAMPOS VASQUEZ</t>
  </si>
  <si>
    <t>LUIS GUILLERMO CAMPOS RENDON</t>
  </si>
  <si>
    <t>ERIKA PATRICIA VASQUEZ COTA</t>
  </si>
  <si>
    <t>MARIO ALBERTO DELGADO BONILLAS</t>
  </si>
  <si>
    <t>JULIA GUADALUPE GRAJEDA COTA</t>
  </si>
  <si>
    <t>ALLAN CORDOVA OLIVARRIA</t>
  </si>
  <si>
    <t>JHOANNA LIZETH REYES AYON</t>
  </si>
  <si>
    <t>MARIO GAXIOLA FLORES</t>
  </si>
  <si>
    <t>LETICIA TIZNADO AGANZA</t>
  </si>
  <si>
    <t>ARMANDO RABAGO ROMERO</t>
  </si>
  <si>
    <t>CLAUDIA ALICIA ACOSTA MOLINA</t>
  </si>
  <si>
    <t>MARISOL ESQUER SILVA</t>
  </si>
  <si>
    <t>REGINA HERNANDEZ MARTINEZ</t>
  </si>
  <si>
    <t>CZARINA MARTINEZ SALAZAR</t>
  </si>
  <si>
    <t>REGINA OTERO FIGUEROA</t>
  </si>
  <si>
    <t>ALEJANDRA OTERO FIGUEROA</t>
  </si>
  <si>
    <t>EMMANUEL ALEJANDRO CARDENAS VILLEGAS</t>
  </si>
  <si>
    <t>JANNETH GUADALUPE CASTILLO CRUZ</t>
  </si>
  <si>
    <t>ALAN ANTONIO GONZALEZ TAPIA</t>
  </si>
  <si>
    <t>DULCE ELENA LOPEZ OCHOA</t>
  </si>
  <si>
    <t>JESUS ROBERTO ARREOLA OROZ</t>
  </si>
  <si>
    <t>NOHEMI DURAZO RUBIO</t>
  </si>
  <si>
    <t xml:space="preserve">VENTURA GARCIA GARCIA </t>
  </si>
  <si>
    <t>ELIA GONZALEZ REALIVASQUEZ</t>
  </si>
  <si>
    <t>MANUEL IGNACIO GALVEZ CORRALES</t>
  </si>
  <si>
    <t>ALICIA DEL CARMEN IÑIGO BUJANDA</t>
  </si>
  <si>
    <t>ELIA GONZLEZ REALIVASQUEZ</t>
  </si>
  <si>
    <t>PAOLA CAROLINA VALENZUELA OLIVAS</t>
  </si>
  <si>
    <t>MARIA DEL REFUGIO MUÑOZ MEDINA</t>
  </si>
  <si>
    <t>JUAN ENRIQUE ALBERTO MERCADO RUIZ</t>
  </si>
  <si>
    <t>NORMA LILIANA SEAMAN CHAIREZ</t>
  </si>
  <si>
    <t>ROLANDO SEAMAN CHAIREZ</t>
  </si>
  <si>
    <t>EUNICE REYES AGUAYO</t>
  </si>
  <si>
    <t>ANA ROCIO GALLEGOS GONZALEZ</t>
  </si>
  <si>
    <t>YENYFER PATRICIA ALMADA IBARRA</t>
  </si>
  <si>
    <t>PATRICIA FABIOLA ALMADA IBARRA</t>
  </si>
  <si>
    <t>EDITH JAQUELINE ALMADA IBARRA</t>
  </si>
  <si>
    <t>ALDO CARRASCO PEREZ</t>
  </si>
  <si>
    <t>MARIA SUSANA VASQUEZ COTA</t>
  </si>
  <si>
    <t xml:space="preserve">YOLANDA PORTILLO QUINTANA </t>
  </si>
  <si>
    <t xml:space="preserve">CYNTHIA MELISSA REYES AYON </t>
  </si>
  <si>
    <t>YAZU AGLADE GAXIOLA FLORES</t>
  </si>
  <si>
    <t>EDUARDO VAZQUEZ VARGAS</t>
  </si>
  <si>
    <t>RUBEN HUMBERTO SOTO BARRERAS</t>
  </si>
  <si>
    <t>CLAUDIA FELIPA ESPINOZA RODRIGUEZ</t>
  </si>
  <si>
    <t>GERARDO HERNANDEZ QUINTANA</t>
  </si>
  <si>
    <t>MARIA EVELYN ROMERO ACEDO</t>
  </si>
  <si>
    <t>NOELIA OTERO FIGUEROA</t>
  </si>
  <si>
    <t>BIANCA BERENICE LOPEZ LUJAN</t>
  </si>
  <si>
    <t>MANUEL IVAN MIRANDA TAPIA</t>
  </si>
  <si>
    <t>CARLOS EDUARDO DURAZO RUIBIO</t>
  </si>
  <si>
    <t>GUADALUPE DEL CARMEN SOQUI AHUMADA</t>
  </si>
  <si>
    <t>AXEL GARCIA ALCARAZ</t>
  </si>
  <si>
    <t>JUAN DANIEL HERMOSILLO LAFARGA</t>
  </si>
  <si>
    <t>SONIA GUADALUPE CAMPA JIMENEZ</t>
  </si>
  <si>
    <t>REGINA CARBALLO  ESPERICUETA</t>
  </si>
  <si>
    <t>DAVID CARBALLO VARELA</t>
  </si>
  <si>
    <t>KIARA ESTEFANIA ESPERICUETA MESTA</t>
  </si>
  <si>
    <t>ORLANDO ALEJANDRO FLORES MESTA</t>
  </si>
  <si>
    <t>ASHELY JAZMIN ESPERICUETA MESTA</t>
  </si>
  <si>
    <t>NORAH MARGARITA FIGUEROA SANTOYO</t>
  </si>
  <si>
    <t>ANA VICTORIA QUINTERO TERRAZAS</t>
  </si>
  <si>
    <t>JORGE LUIS QUINTERO DURAN</t>
  </si>
  <si>
    <t>MARISOL TERRAZAS GALACIA</t>
  </si>
  <si>
    <t>KARLA DANIRA ESCOBAR GUZMAN</t>
  </si>
  <si>
    <t>ANGELA SOFIA ROMERO SANCHEZ</t>
  </si>
  <si>
    <t xml:space="preserve">GERARDO ROMERO CASTRO </t>
  </si>
  <si>
    <t>MARCIA JULIA SANCHEZ VEGA</t>
  </si>
  <si>
    <t>BRENDA EDITH ROMERO CASTRO</t>
  </si>
  <si>
    <t>DAMIAN YAHEL AVILES COTA</t>
  </si>
  <si>
    <t>OMAR DAMIAN AVILES ORTIZ</t>
  </si>
  <si>
    <t>BLANCA JOSEFINA AVILES ORTIZ</t>
  </si>
  <si>
    <t>DANTE JOSE FELIX MUÑOZ</t>
  </si>
  <si>
    <t>FRANCISCO FELIX FELIX</t>
  </si>
  <si>
    <t>IVAN GERARDO MUÑOZ MARTINEZ</t>
  </si>
  <si>
    <t>GABRIELLE DUARTE VALLES</t>
  </si>
  <si>
    <t>JUAN PABLO DUARTE CHACON</t>
  </si>
  <si>
    <t>KAREN ELENA VALLES SAENZ</t>
  </si>
  <si>
    <t>ANILLAN DALLY QUIROZ VALDEZ</t>
  </si>
  <si>
    <t>GUILLERMO HARO PESQUEIRA</t>
  </si>
  <si>
    <t>GUILLERMO HARO CASTRO</t>
  </si>
  <si>
    <t>ERIKA CASTRO LOPEZ</t>
  </si>
  <si>
    <t xml:space="preserve">LUZ AURORA PESQUEIRA TAYLOR </t>
  </si>
  <si>
    <t>IAN DAVID JUAREZ BRAUN</t>
  </si>
  <si>
    <t>JASSIEL AGUSTIN JUAREZ SEPULVEDA</t>
  </si>
  <si>
    <t>TAIRYMAIRY BRAUN PARRA</t>
  </si>
  <si>
    <t>ALICIA ELIZABETH JUAREZ SEPULVEDA</t>
  </si>
  <si>
    <t xml:space="preserve">JONATHAN IRAM JUAREZ BRAUN </t>
  </si>
  <si>
    <t>JOSE ANDRES URIAS HARO</t>
  </si>
  <si>
    <t>PASCUAL URIAS RENDON</t>
  </si>
  <si>
    <t>MARIA ISABEL RASCON CONTRERAS</t>
  </si>
  <si>
    <t>OSCAR RASCON VALDEZ</t>
  </si>
  <si>
    <t>ISABEL LIZETH CONTRERAS OLIVARRIA</t>
  </si>
  <si>
    <t>BEATRIZ CECILIA GRIJALVA RUIZ</t>
  </si>
  <si>
    <t>MATEO GERARDO ROMO ALONSO</t>
  </si>
  <si>
    <t>GERARDO DANIEL ROMO GOMEZ</t>
  </si>
  <si>
    <t>MARIA ELENA ALONSO ZARAGOZA</t>
  </si>
  <si>
    <t>MANUEL ANTONIO AVILA SALINAS</t>
  </si>
  <si>
    <t>MIA SCARLETH RODRIGUEZ AVILA</t>
  </si>
  <si>
    <t>MANUEL EMILIO RODRIGUEZ VILLA</t>
  </si>
  <si>
    <t>NANCY FABIOLA AVILA GUTIERREZ</t>
  </si>
  <si>
    <t>ALEJANDRA ALCARAZ OLIVARRIA</t>
  </si>
  <si>
    <t>OLIVIA DAVILA ALVAREZ</t>
  </si>
  <si>
    <t>ROSARIO PEÑA DESSENS</t>
  </si>
  <si>
    <t>PAULINA LIZETH RASCON CONTRERAS</t>
  </si>
  <si>
    <t>YENYFER FELIX SOTO</t>
  </si>
  <si>
    <t>ROMINA HERNANDEZ IBARRA</t>
  </si>
  <si>
    <t>ALBERTO ENRIQUE HERNANDEZ MARTINEZ</t>
  </si>
  <si>
    <t>MIROSLAVA GUADALUPE IBARRA MENESES</t>
  </si>
  <si>
    <t>JOHANNA IBARRA MENESES</t>
  </si>
  <si>
    <t>SOFIA BELEM VALENZUELA SALCIDO</t>
  </si>
  <si>
    <t>LUZ DEL CARMEN VALENZUELA GOCOBACHI</t>
  </si>
  <si>
    <t>NUESTRA SEÑORA DE LA PAZ  - 30  DE MAYO DEL 2025 - 12:00 AM</t>
  </si>
  <si>
    <t>NUESTRA SEÑORA DE LA PAZ  - 31  DE MAYO DEL 2025 - 12:00 AM</t>
  </si>
  <si>
    <t>CELESTE JAQUELINE QUINTANAR ACUÑA</t>
  </si>
  <si>
    <t>NUESTRA SEÑORA DE LA PAZ  - 31  DE MAYO DEL 2025 - 5:00 PM</t>
  </si>
  <si>
    <t>CARLOS ALBERTO QUINTANAR ALVARADO</t>
  </si>
  <si>
    <t xml:space="preserve">JESSICA ACUÑA ARBALLO </t>
  </si>
  <si>
    <t>JESUS ALEJANDRA ACUÑA ARBALLO</t>
  </si>
  <si>
    <t>SAMUEL OCAMPO LAGUNA</t>
  </si>
  <si>
    <t>MARTIN ALONSO LAGUNA MORALES</t>
  </si>
  <si>
    <t>ISRAEL JACOB RODRIGUEZ GARCIA</t>
  </si>
  <si>
    <t>ISRAEL YAVAN RODRIGUEZ CASTRO</t>
  </si>
  <si>
    <t>PERLA LIZETH GARCIA ESQUER</t>
  </si>
  <si>
    <t>PAOLA GUADALUPE GARCIA ESQUER</t>
  </si>
  <si>
    <t>LUISA LAGUNA NORIEGA</t>
  </si>
  <si>
    <t>JOSE ABRAHAM LAGUNA</t>
  </si>
  <si>
    <t>MARIA DEL ROSARIO NORIEGA ROMERO</t>
  </si>
  <si>
    <t xml:space="preserve">MATEO SANCHEZ MONTAÑO </t>
  </si>
  <si>
    <t>EMMANUEL SANCHEZ ROMAN</t>
  </si>
  <si>
    <t>GABRIELA MONTAÑO RODARTE</t>
  </si>
  <si>
    <t>JAVIER FERNANDO MONTAÑO RODARTE</t>
  </si>
  <si>
    <t>PAMELA NOGALES OROS</t>
  </si>
  <si>
    <t>MARIA ANTONIETA OROS ZEPEDA</t>
  </si>
  <si>
    <t>RENATA SANCHEZ MONTAÑO</t>
  </si>
  <si>
    <t>ALMA LIZETH ALVAREZ COVARRUBIAS</t>
  </si>
  <si>
    <t>PERLA SHERLYN RODRIGUEZ GARCIA</t>
  </si>
  <si>
    <t>JUAN LUIS GARCIA ESQUER</t>
  </si>
  <si>
    <t>XIMENA MENESES FELIX</t>
  </si>
  <si>
    <t>RAFAEL MENESES AVALOS</t>
  </si>
  <si>
    <t>MARIA CECILIA FELIX LUZANILLA</t>
  </si>
  <si>
    <t>ALEJANDRA GUADALUPE ARANA CORNEJO</t>
  </si>
  <si>
    <t xml:space="preserve">ELVIA PARADA JIMENEZ </t>
  </si>
  <si>
    <t>KARIME CONTRERAS PERALTA</t>
  </si>
  <si>
    <t>MARLEN PALMIRA CONTRERAS PERALTA</t>
  </si>
  <si>
    <t>MARIA LEONOR SANCHEZ BRAVO</t>
  </si>
  <si>
    <t>JESUS ARMANDO ARELLANO CAMPA</t>
  </si>
  <si>
    <t>ARMANDO ARELLANO REAL</t>
  </si>
  <si>
    <t>KARLA FABIOLA CAMPA SAAVEDRA</t>
  </si>
  <si>
    <t>CARMEN JULIETH ARELLANO CAMPA</t>
  </si>
  <si>
    <t>FRANCISCA GUADALUPE CASTILLO CORNEJO</t>
  </si>
  <si>
    <t>FRANCISCA CORNEJO MENDOZA</t>
  </si>
  <si>
    <t>ANGELICA MENDOZA SANCHEZ</t>
  </si>
  <si>
    <t>BRUNO GUILLERMO ARCE PARDINI</t>
  </si>
  <si>
    <t xml:space="preserve">BRUNO ARCE MORENO </t>
  </si>
  <si>
    <t>GABRIELA PARDINI ANGULO</t>
  </si>
  <si>
    <t>BRISA GUADALUPE FELIX INZUNZA</t>
  </si>
  <si>
    <t>ALFREDO ANGEL PEREZ</t>
  </si>
  <si>
    <t>PALOMA CAROLINA CABANILLAS CORONA</t>
  </si>
  <si>
    <t>ANGEL DEREK AGUIRRE YOCUPICIO</t>
  </si>
  <si>
    <t>JOSE ANGEL AGUIRRE VALDEZ</t>
  </si>
  <si>
    <t>ARLETH YOCUPICIO BURBOA</t>
  </si>
  <si>
    <t>MARIA LETICIA BURBOA MUÑOZ</t>
  </si>
  <si>
    <t>JUAN CARLOS WALTERS MERAZ</t>
  </si>
  <si>
    <t>NADIA DARYNKA CORRAL VEGA</t>
  </si>
  <si>
    <t>NADIA MELANIA CORRAL VEGA</t>
  </si>
  <si>
    <t>MONICA MORALES RODRIGUEZ Y MARCO VINICIO VEGA LOPEZ</t>
  </si>
  <si>
    <t>SAN PIO DE PIETRELCINA - 24 DE MAYO DEL 2025 - 7:00 PM</t>
  </si>
  <si>
    <t>CAMILA DAENA VALDEZ CARRILLO</t>
  </si>
  <si>
    <t>JORGE FELIX VALDEZ TALAMANTE</t>
  </si>
  <si>
    <t>YESSICA KARINA CARRILLO LOPEZ</t>
  </si>
  <si>
    <t xml:space="preserve">ALEJANDRA CARRILLO LOOPEZ </t>
  </si>
  <si>
    <t xml:space="preserve">CARLOS SANTIAGO ANDRADE PARRA </t>
  </si>
  <si>
    <t>SANTA ISELA ANDRADE PARRA</t>
  </si>
  <si>
    <t>EDUARDO OMAR ROCHA REYES</t>
  </si>
  <si>
    <t>FELIPE DE JESUS ROCHA SANTOS</t>
  </si>
  <si>
    <t>MARTHA LIZETH REYES NEVAREZ</t>
  </si>
  <si>
    <t>YELIXA CASTILLO MENDOZA</t>
  </si>
  <si>
    <t>FRANCISCO JAVIER CONTRERAS DIAZ</t>
  </si>
  <si>
    <t>FRANCISCO RAFAEL CONTRERAS GOMEZ</t>
  </si>
  <si>
    <t>SULLY ICELA DIAZ MARTINEZ</t>
  </si>
  <si>
    <t>MARCOS SAHID SOTO VALENZUELA</t>
  </si>
  <si>
    <t>MARIA DE LOS ANGELES CASTRO LIMON</t>
  </si>
  <si>
    <t>RUBEN YOEL RUELAS BERNAL</t>
  </si>
  <si>
    <t>RUBEN OCTAVIO RUELAS MONTIEL</t>
  </si>
  <si>
    <t>ROSA MARTHA BERNAL ROMERO</t>
  </si>
  <si>
    <t>LUIS ANTONIO SALAZAR CONTRERAS</t>
  </si>
  <si>
    <t>SANTIAGO DE JESUS DANZOS MONGE</t>
  </si>
  <si>
    <t>JESUS MANUEL DANZOS IBARRA</t>
  </si>
  <si>
    <t>DENISE SARAHI MONGE VALENCIA</t>
  </si>
  <si>
    <t>JESUS ROBERTO SIQUEIROS DANZOS</t>
  </si>
  <si>
    <t>ISELA GUADALUPE PEREZ ANDRADE</t>
  </si>
  <si>
    <t>MARCO ANTONIO DIAZ MEDINA</t>
  </si>
  <si>
    <t>GABRIEL REFUGIO VEGA TALAMANTES</t>
  </si>
  <si>
    <t>ALBA MARINA RAMOS GONZALEZ</t>
  </si>
  <si>
    <t>EDSIVAN JACOME MARTINEZ</t>
  </si>
  <si>
    <t>ARTURO JACOME ROBLES</t>
  </si>
  <si>
    <t xml:space="preserve">ERIKA MARTINEZ CALERA </t>
  </si>
  <si>
    <t>DIEGO HEBRENEK MORALES CASTRO</t>
  </si>
  <si>
    <t>SUSANA ELIZABETH LIZARRAGA CORONADO</t>
  </si>
  <si>
    <t>NUESTRA SEÑORA DE LA PAZ - 31 DE MAYO DEL 2025 - 12:00 PM</t>
  </si>
  <si>
    <t xml:space="preserve">AITANA SOFIA ROBLES COTA </t>
  </si>
  <si>
    <t>AMADA VAZQUEZ DANIEL</t>
  </si>
  <si>
    <t>ALMA VALERIA BELTRAN RIOS</t>
  </si>
  <si>
    <t>AMALIA APOLONIA GUAJARDO VELAZQUEZ</t>
  </si>
  <si>
    <t>GUSTAVO MIGUEL GUAJARDO NEBLINA</t>
  </si>
  <si>
    <t>GLADYS GUADALUPE VELAZQUEZ MENDOZA</t>
  </si>
  <si>
    <t>SHELBY LIRAY VELAZQUEZ MENDOZA</t>
  </si>
  <si>
    <t>ANA PAULA MORENO DURAZO</t>
  </si>
  <si>
    <t>LUIS OCTAVIO MORENO NEVAREZ</t>
  </si>
  <si>
    <t>ALICIA MARIA DURAZO RUBIO</t>
  </si>
  <si>
    <t>MARCIA JUDITH MARTINEZ DURAZO</t>
  </si>
  <si>
    <t>ARTURO MAZON BOJORQUEZ</t>
  </si>
  <si>
    <t>JESUS ARTURO MAZON NEVAREZ</t>
  </si>
  <si>
    <t>CAROLINA BOJORQUEZ BARRON</t>
  </si>
  <si>
    <t>LILIANA MARGARITA ARANDA BOJORQUEZ</t>
  </si>
  <si>
    <t>CESAR ALONSO MARTINEZ SANCHEZ</t>
  </si>
  <si>
    <t>OSCAR ALEJANDRO SANCHEZ PESQUEIRA</t>
  </si>
  <si>
    <t>CHRISTIAN OSMAR SANTOS CURIEL</t>
  </si>
  <si>
    <t>CHRISTIAN ERIK SANTOS QUIJADA</t>
  </si>
  <si>
    <t>CLAUDIA VANESSA CURIEL CARRILLO</t>
  </si>
  <si>
    <t>LAURA LIZETTE DORAME SILVA</t>
  </si>
  <si>
    <t>CHRISTIANE SALMAR SALAS MEDINA</t>
  </si>
  <si>
    <t>RAFAEL ALBERTO SALAS MIRANDA</t>
  </si>
  <si>
    <t>CHRISTIANE SALMAR MEDINA PEREZ</t>
  </si>
  <si>
    <t>GUADALUPE ALICIA SALAS MIRANDA</t>
  </si>
  <si>
    <t>DANIELA ANDREA LOPEZ ROBLES</t>
  </si>
  <si>
    <t>LUIS DANIEL LOPEZ RODRIGUEZ</t>
  </si>
  <si>
    <t>DANIELA ROBLES RIVERA</t>
  </si>
  <si>
    <t>MARLENE JAZMIN FLORES RODRIGUEZ</t>
  </si>
  <si>
    <t>DANNA VICTORIA TORRES FELIX</t>
  </si>
  <si>
    <t>TRINIDAD AMPARAN ESTRELLA</t>
  </si>
  <si>
    <t>DIANA SOFIA CORONADO CHAVEZ</t>
  </si>
  <si>
    <t>MIGUEL ANGEL CORONADO EZRRE</t>
  </si>
  <si>
    <t>ALMA VICTORIA CHAVEZ FLORES</t>
  </si>
  <si>
    <t>GABRIELA PLATT VALDEZ</t>
  </si>
  <si>
    <t>LUIS GREGORIO MILLANES BENITES</t>
  </si>
  <si>
    <t>IKER VALENCIA VAZQUEZ</t>
  </si>
  <si>
    <t>JESUS FERNANDO VALENCIA MALDONADO</t>
  </si>
  <si>
    <t>XIMENA VAZQUEZ ISLAS</t>
  </si>
  <si>
    <t>KARLA GUADALUPE VALENCIA MALDONADO</t>
  </si>
  <si>
    <t>IVAN DANIEL CASTAÑEDA JIMENEZ</t>
  </si>
  <si>
    <t>IVAN ARTURO CASTAÑEDA DIAZ</t>
  </si>
  <si>
    <t>BRENDA GUADALUPE JIMENEZ CASTILLO</t>
  </si>
  <si>
    <t>ARTURO SOSA GOMEZ</t>
  </si>
  <si>
    <t>JERONIMO CORRAL FELIX</t>
  </si>
  <si>
    <t>NORBERTO CORRAL RUEDA</t>
  </si>
  <si>
    <t>MARIA JOSE FELIX BURBOA</t>
  </si>
  <si>
    <t>LOURDES ACOSTA FAJARDO</t>
  </si>
  <si>
    <t>MAIDE IRAIS MURRIETA MACIAS</t>
  </si>
  <si>
    <t>TEMILOXZINTL AID MURRIETA GINEZ</t>
  </si>
  <si>
    <t>MARTHA DOLORES MACIAS PAREDES</t>
  </si>
  <si>
    <t>ROSA MARIA MACIAS PAREDES</t>
  </si>
  <si>
    <t>MAURO SUGICH VILLANUEVA</t>
  </si>
  <si>
    <t>JORGE SUGICH VALENZUELA</t>
  </si>
  <si>
    <t>KARLA MARIA VILLANUEVA FAVA</t>
  </si>
  <si>
    <t>JUAN ELIAS SUGICH VALDENEBRO</t>
  </si>
  <si>
    <t>SILVANNA LIZARRAGA CORNEJO</t>
  </si>
  <si>
    <t>JESUS ALBERTO LIZARRAGA TORRES</t>
  </si>
  <si>
    <t>NUBIA NATALIA CORNEJO CAMPOS</t>
  </si>
  <si>
    <t>MARISOL DEL CARMEN DOMINGUEZ CABRAL</t>
  </si>
  <si>
    <t>SOFIA DAYANA SANORA MIRANDA</t>
  </si>
  <si>
    <t>ROBERTO ENRIQUE SANORA GUEVARA</t>
  </si>
  <si>
    <t>XOCHITL YAJAIRA MIRANDA SANTACRUZ</t>
  </si>
  <si>
    <t>MARIA DE LOS ANGELES ZAMARRON FLORES</t>
  </si>
  <si>
    <t>VALENTINA SOTO GALLARDO</t>
  </si>
  <si>
    <t>RAMSES SOTO BOJORQUEZ</t>
  </si>
  <si>
    <t>LILIANA GALLARDO BRINGAS</t>
  </si>
  <si>
    <t>KARLA MARIA GALLARDO BRINGAS</t>
  </si>
  <si>
    <t>VALERIA JIMENEZ FERNANDEZ</t>
  </si>
  <si>
    <t>ALVARO JIMENEZ ESTRELLA</t>
  </si>
  <si>
    <t>XIMENA VILLEGAS MARTINEZ</t>
  </si>
  <si>
    <t>JOSE LUIS VILLEGAS RAMOS</t>
  </si>
  <si>
    <t>LILIANA MARTINEZ OBESO</t>
  </si>
  <si>
    <t>TALIA MARLETTE RAMOS ACOSTA</t>
  </si>
  <si>
    <t>GAEL ERNESTO GRANILLO VALENZUELA</t>
  </si>
  <si>
    <t>JASIVEE GUADALUPE JIMENEZ ESTRELLA</t>
  </si>
  <si>
    <t>EMMANUEL TORRECILLAS ACEDO</t>
  </si>
  <si>
    <t>DAMARIS YOANA GUERRERO CONTRERAS</t>
  </si>
  <si>
    <t xml:space="preserve">ANA CATALINA ENRIQUEZ ANDALON </t>
  </si>
  <si>
    <t xml:space="preserve">ANDREA NATALIA LIZARRAGA CHAVIRA </t>
  </si>
  <si>
    <t xml:space="preserve">ANGEL IVAN URIAS CRUZ </t>
  </si>
  <si>
    <t>CARLOS EVERARDO ROBLES MERAZ</t>
  </si>
  <si>
    <t>DIEGO IVAN NICOLA RUIZ</t>
  </si>
  <si>
    <t>EROS GABRIEL MURRIETA MEXIA</t>
  </si>
  <si>
    <t>GERALDINE ISABELA MORENO CASILLAS</t>
  </si>
  <si>
    <t>GUADALUPE ESTEFANIA LOPEZ OLMOS</t>
  </si>
  <si>
    <t>IAN CARLO TAPIA ESTRADA</t>
  </si>
  <si>
    <t>JAVIER LEYVA MOLINA</t>
  </si>
  <si>
    <t>JAYLI CASTRO VENEGAS</t>
  </si>
  <si>
    <t>JESUS GUILLERMO OVIEDO DUARTE</t>
  </si>
  <si>
    <t xml:space="preserve">JOSE MATEO GALVIS CANCHOLA </t>
  </si>
  <si>
    <t>JUHSGUIT SINAHI GONZALEZ PACHECO</t>
  </si>
  <si>
    <t>KAMIL IVANA VALLE VIDAL</t>
  </si>
  <si>
    <t>KATHYA RENTERIA NAVARRETE</t>
  </si>
  <si>
    <t>LUIS FERNANDO TELLEZ MORENO</t>
  </si>
  <si>
    <t xml:space="preserve">LUNA ZOE BADILLA LIMON </t>
  </si>
  <si>
    <t xml:space="preserve">LUZ ELENA BASACA ACUÑA </t>
  </si>
  <si>
    <t xml:space="preserve">MARIA JOSE NAVARRO VALENZUELA  </t>
  </si>
  <si>
    <t xml:space="preserve">MAYRANI GUADALUPE MENESES DIAZ </t>
  </si>
  <si>
    <t xml:space="preserve">MELISSA GOMEZ VALENZUELA </t>
  </si>
  <si>
    <t>NICOLE NAVARRETE LAFARGA</t>
  </si>
  <si>
    <t>ROGELIO EMILIANO OCHOA GARCIA</t>
  </si>
  <si>
    <t xml:space="preserve">SANTIAGO ALONSO CERVANTES OCHOA </t>
  </si>
  <si>
    <t>SCARLETT GUADALUPE FELIX FIMBRES</t>
  </si>
  <si>
    <t>NICOL SOPHIA AGUIÑAGA SOLANO</t>
  </si>
  <si>
    <t xml:space="preserve">VICTORIA MENDIVIL CAMACHO </t>
  </si>
  <si>
    <t>FRANCISCO ELEAZAR ENRIQUEZ SANTELIZ</t>
  </si>
  <si>
    <t xml:space="preserve">HAYDEE ANDALON AGUILA </t>
  </si>
  <si>
    <t>EDUARDO LIZARRAGA CASTILLO</t>
  </si>
  <si>
    <t>NATALIA CHAVIRA WILLYS</t>
  </si>
  <si>
    <t xml:space="preserve">ROMAN IVAN URIAS URIAS </t>
  </si>
  <si>
    <t>ALBA CRUZ CHAVEZ</t>
  </si>
  <si>
    <t xml:space="preserve">CARLOS MIGUEL ROBLES MEDELLIN </t>
  </si>
  <si>
    <t>ALMA PATRICIA MERAZ NUÑEZ</t>
  </si>
  <si>
    <t>DANIELA PRADO LEYVA</t>
  </si>
  <si>
    <t>MARCO IVAN NICOLA TADEO</t>
  </si>
  <si>
    <t>LUZ MERCEDES RUIZ CASTILLO</t>
  </si>
  <si>
    <t>EROS DAVID MURRIETA LOPEZ</t>
  </si>
  <si>
    <t>PEDRO MORENO ARCE</t>
  </si>
  <si>
    <t>FABIOLA CASILLAS FIERRO</t>
  </si>
  <si>
    <t>LAZARO ENRIQUE LOPEZ MENDOZA</t>
  </si>
  <si>
    <t xml:space="preserve">NEMESIA OLMOS CASAS </t>
  </si>
  <si>
    <t>JUAN CARLOS TAPIA MARTINEZ</t>
  </si>
  <si>
    <t>REYNA XOCHITL ESTRADA DURAN</t>
  </si>
  <si>
    <t xml:space="preserve">JAVIER LEYVA FIGUEROA </t>
  </si>
  <si>
    <t>NYDIA GUADALUPE MOLINA CARRANZA</t>
  </si>
  <si>
    <t>JAHUDIEL CASTRO LEON</t>
  </si>
  <si>
    <t>IRMA LIBIER VANEGAS VILLALPANDO</t>
  </si>
  <si>
    <t>GUILLERMO OVIEDO MARTINEZ</t>
  </si>
  <si>
    <t>ROSA MARIA DUARTE CAMACHO</t>
  </si>
  <si>
    <t>JOSE ALFREDO GALVIS LOPEZ</t>
  </si>
  <si>
    <t xml:space="preserve">ELIZABETH CANCHOLA RUIZ </t>
  </si>
  <si>
    <t>JESUS GONZALEZ TORRES</t>
  </si>
  <si>
    <t>GUADALUPE PACHECO RUIZ</t>
  </si>
  <si>
    <t xml:space="preserve">SALVADOR VALLE ROSS </t>
  </si>
  <si>
    <t>ALMA CAROLINA VIDAL FLORES</t>
  </si>
  <si>
    <t>JOSE RAFAEL RENTERIA ROSALES</t>
  </si>
  <si>
    <t>BLANCA JUDITH NAVARRETE MATAS</t>
  </si>
  <si>
    <t>LUIS DANIEL TELLEZ BERNAL</t>
  </si>
  <si>
    <t>LIZETH MORENO ROMERO</t>
  </si>
  <si>
    <t>LUIS ARMANDO BADILLA MARTINEZ</t>
  </si>
  <si>
    <t>FRANCISCA PALOMA LIMON CELAYA</t>
  </si>
  <si>
    <t>EDUARDO ANTONIO BASACA ATONDO</t>
  </si>
  <si>
    <t>LAURA ELENA ACUÑA YOCUPICIO</t>
  </si>
  <si>
    <t>JOSE JESUS NAVARRO RUIZ</t>
  </si>
  <si>
    <t xml:space="preserve">LAURA KARINA VALENZUELA CUEVAS </t>
  </si>
  <si>
    <t>DANIEL IVAN MENESES OCAÑO</t>
  </si>
  <si>
    <t>MAYRA DIAZ SANCHEZ</t>
  </si>
  <si>
    <t>JOSE DE JESUS GOMEZ RAMIREZ</t>
  </si>
  <si>
    <t xml:space="preserve">IDALIA GUADALUPE VALENZUELA CAMPA </t>
  </si>
  <si>
    <t>MIGUEL ANTONIO NAVARRETE ARREOLA</t>
  </si>
  <si>
    <t>MARIA GUADALUPE LAFARGA CHAVEZ</t>
  </si>
  <si>
    <t>CARLOS ROGELIO OCHOA GARCIA</t>
  </si>
  <si>
    <t>ROSALVA GARCIA LOPEZ</t>
  </si>
  <si>
    <t xml:space="preserve">MARTIN ALONSO CERVANTES HUERTA </t>
  </si>
  <si>
    <t xml:space="preserve">CECILIA GUADALUPE OCHOA LUGO </t>
  </si>
  <si>
    <t>LUIS GERARDO FELIX PRECIADO</t>
  </si>
  <si>
    <t>ALBA IRENE FIMBRES SALCIDO</t>
  </si>
  <si>
    <t>JOSE ALFONSO MENDIVIL ALVARADO</t>
  </si>
  <si>
    <t>LOURDES MARLENE CAMACHO VALENZUELA</t>
  </si>
  <si>
    <t>ALEJANDRA CHAVIRA WILLYS</t>
  </si>
  <si>
    <t>MARIA OLIVIA CRUZ CHAVEZ</t>
  </si>
  <si>
    <t>TANNIA LETICIA ROBLES MEDELLIN</t>
  </si>
  <si>
    <t>LUCIA LEYVA REYES</t>
  </si>
  <si>
    <t>NORMA ALICIA RUIZ CASTILLO</t>
  </si>
  <si>
    <t>JESUS EDGAR MEXIA CAMPOS</t>
  </si>
  <si>
    <t>SANTIAGO MORENO ARCE</t>
  </si>
  <si>
    <t>LUZ MARIA OLMOS CASAS</t>
  </si>
  <si>
    <t xml:space="preserve">OCTAVIO ESTRADA DURAN </t>
  </si>
  <si>
    <t>ALMA KARINA LEYVA FIGUEROA</t>
  </si>
  <si>
    <t>ANA SANCHEZ MURRIETA</t>
  </si>
  <si>
    <t>GUADALUPE MANZANARES CAMACHO</t>
  </si>
  <si>
    <t>CINTHYA KARINA CANCHOLA RUIZ</t>
  </si>
  <si>
    <t xml:space="preserve">REYNA LILIA ALVARADO ROSAS </t>
  </si>
  <si>
    <t>ALMARA GUADALUPE VALLE ROSS</t>
  </si>
  <si>
    <t>DENISSE NAVARRETE MATAS</t>
  </si>
  <si>
    <t>MARIA DEL CARMEN GARCIA HERAS</t>
  </si>
  <si>
    <t>LUZ DEL CARMEN ACUÑA YOCUPICIO</t>
  </si>
  <si>
    <t>JAZMIN MARIA ROMERO FIGUEROA</t>
  </si>
  <si>
    <t>RUBI JOCELINE MENESES DIAZ</t>
  </si>
  <si>
    <t>LORENIA VALENZUELA CAMPA</t>
  </si>
  <si>
    <t>MARIA ZORAIDA VEGA LOPEZ</t>
  </si>
  <si>
    <t>LIBIA ZULETH OTERO BELTRAN</t>
  </si>
  <si>
    <t>NEREYDA GARCIA LOPEZ</t>
  </si>
  <si>
    <t>MARIO ALAN CORDOVA MIGUEL</t>
  </si>
  <si>
    <t>DIANA ALEJANDRA VALENZUELA SALCIDO</t>
  </si>
  <si>
    <t>ROSALINA ISELA MEZA NAVARRETE</t>
  </si>
  <si>
    <t>DANIELA FERNANDA VILLEGAS PRADO</t>
  </si>
  <si>
    <t>JULIO HRISFHELD VILLEGAS LEYVA</t>
  </si>
  <si>
    <t>LUZ DEL CARMEN MEXIA IBARRA</t>
  </si>
  <si>
    <t>FRANCISCO JAVIER AGUIÑAGA PAREDES</t>
  </si>
  <si>
    <t>ROSA MARIA SOLANO MEZA</t>
  </si>
  <si>
    <t>NUESTRA SEÑORA DE LA PAZ - 31 DE MAYO DEL 2025 - 8:00 AM</t>
  </si>
  <si>
    <t>XICOTENCATL AYON BARRERAS</t>
  </si>
  <si>
    <t>RUTH ALVAREZ ROBLES</t>
  </si>
  <si>
    <t>NOELIA ANAHI AYON  ANDALON</t>
  </si>
  <si>
    <t>SAN PIO DE PIETRELCINA - 24 DE MAYO DEL 2025 - 8:00 PM</t>
  </si>
  <si>
    <t>ALEXA YAMILET GARCIA VALENZUELA</t>
  </si>
  <si>
    <t>RAMIRO GARCIA CORRAL</t>
  </si>
  <si>
    <t>YADIRA MARYBEL VALENZUELA IBARRA</t>
  </si>
  <si>
    <t>ALIZ MIRANDA VASQUEZ COTERA</t>
  </si>
  <si>
    <t>JESSICA JESSENIA VASQUEZ COTERA</t>
  </si>
  <si>
    <t>RAMONA ALVAREZ ARVIZU</t>
  </si>
  <si>
    <t>ANA VICTORIA CORRALES MENDOZA</t>
  </si>
  <si>
    <t>CLAUDIA ESTHER CORRALES RODRIGUEZ</t>
  </si>
  <si>
    <t>ANA VICTORIA DUARTE GALAZ</t>
  </si>
  <si>
    <t xml:space="preserve">JESUS FRANCISCO DUARTE OTHON </t>
  </si>
  <si>
    <t>KAREN DEYANIRA GALAZ GONZALEZ</t>
  </si>
  <si>
    <t>FRANCISCA ELIZABETH NIEBLAS VILLA</t>
  </si>
  <si>
    <t>ARIADNA GUADALUPE MORENO GRADILLA</t>
  </si>
  <si>
    <t>HERIBERTO MORENO MORENO</t>
  </si>
  <si>
    <t>KARLA YUNIVIE GRADILLA MOJUTA</t>
  </si>
  <si>
    <t>ELVIA ALICIA GRADILLAS MOJUTA</t>
  </si>
  <si>
    <t>ERIK SEBASTIAN CORONADO BUSTAMANTE</t>
  </si>
  <si>
    <t>JUAN RAMON CORONADO LOPEZ</t>
  </si>
  <si>
    <t>DIONICIO HUMBERTO DAVILA GONZALEZ</t>
  </si>
  <si>
    <t>GUADALUPE SOLANCH HERNANDEZ ESPINOZA</t>
  </si>
  <si>
    <t xml:space="preserve">IRAN LEOBARDO HERNANDEZ MARTINEZ DEL CAMPO </t>
  </si>
  <si>
    <t>MAYRA VANESSA ESPINOZA MERAZ</t>
  </si>
  <si>
    <t>IAN SEBASTIAN MARTINEZ GARCIA</t>
  </si>
  <si>
    <t>RENE DANIEL MARTINEZ MENDOZA</t>
  </si>
  <si>
    <t>JOSELYN ITXEL LOMELI PRIETO</t>
  </si>
  <si>
    <t xml:space="preserve">JOSE LUCIANO LOMELI BARRAGAN </t>
  </si>
  <si>
    <t>MARGARITA PRIETO VEGA</t>
  </si>
  <si>
    <t>OSWALDO ALBERTO MARTINEZ LOPEZ</t>
  </si>
  <si>
    <t>JOSHUA JAVIER LUGO LEON</t>
  </si>
  <si>
    <t>FRANCISCO JAVIER LUGO CHAIRES</t>
  </si>
  <si>
    <t>MARTHA TERESITA LEON RAMOS</t>
  </si>
  <si>
    <t>NILLIRMA YSELA RAMOS GARCIA</t>
  </si>
  <si>
    <t>ROSA PATRICIA OYAMA BERNAL</t>
  </si>
  <si>
    <t>CRISTOBAL IVAN OYAMA JIMENEZ</t>
  </si>
  <si>
    <t>DENADILA BERNAL DOMINGUEZ</t>
  </si>
  <si>
    <t>NATALIA BERNAL DOMINGUEZ</t>
  </si>
  <si>
    <t>ANGEL ALEXIS GUIDA SALAZAR</t>
  </si>
  <si>
    <t>MIGUEL ANGEL GUIDA GRACIA</t>
  </si>
  <si>
    <t>CRISTAL PAOLA SALAZAR TORRES</t>
  </si>
  <si>
    <t>ANGEL SEBASTIAN SALAZAR NAVARRO</t>
  </si>
  <si>
    <t>MIGUEL ANGEL SALAZAR MONGE</t>
  </si>
  <si>
    <t>MARIA DE LOS ANGELES NAVARRO MORALES</t>
  </si>
  <si>
    <t>ANGEL TADEO ROMAN MONGE</t>
  </si>
  <si>
    <t>AMINTA JAQUELINE GUARISTA FLORES</t>
  </si>
  <si>
    <t>ARMANDO GUARISTA MELENDREZ</t>
  </si>
  <si>
    <t>REYNA FLORES BARRAGAN</t>
  </si>
  <si>
    <t>AMPARO JANETH MELENDREZ GUTIERREZ</t>
  </si>
  <si>
    <t>AXEL EIBRAHAM DOJAQUE PEREZ</t>
  </si>
  <si>
    <t>FRANCISCO DOJAQUE NAVARRO</t>
  </si>
  <si>
    <t>YDANIA RUBY PEREZ GARCIA</t>
  </si>
  <si>
    <t>SYLVIA GARCIA</t>
  </si>
  <si>
    <t>CARLOS FERNANDO LOPEZ PONCE</t>
  </si>
  <si>
    <t>GERMAN FERNANDO LOPEZ MUÑOZ</t>
  </si>
  <si>
    <t xml:space="preserve">CAROLINA PONCE PEREZ </t>
  </si>
  <si>
    <t>SARA MARIA PONCE PEREZ</t>
  </si>
  <si>
    <t>DIEGO RICARDO CASTILLO BURGOS</t>
  </si>
  <si>
    <t>CARLOS CASTILLO VALENZUELA</t>
  </si>
  <si>
    <t>OLGA SAMARIA GUADALUPE BURGOS TORUA</t>
  </si>
  <si>
    <t>ISAAC ALBERTO HURTADO HERRERA</t>
  </si>
  <si>
    <t>REYNA ELIZABETH CASTRO FONTES</t>
  </si>
  <si>
    <t>CRISTINA DEL CARMEN GARCES FONTES</t>
  </si>
  <si>
    <t>ISABELLA GRANILLO CAMPOY</t>
  </si>
  <si>
    <t>JUAN PABLO GRANILLO RASCON</t>
  </si>
  <si>
    <t>FRANCISCA ESMERALDA CAMPOY ARMENTA</t>
  </si>
  <si>
    <t>BARBARA JAZMIN CARRASCO CAMPOY</t>
  </si>
  <si>
    <t>IVAN ALAN OYAMA BERNAL</t>
  </si>
  <si>
    <t>JESUS DALIEL LARA YBARRA</t>
  </si>
  <si>
    <t>JESUS HUMBERTO LARA HUERIGO</t>
  </si>
  <si>
    <t>MARIA SUSANA YBARRA LUNA</t>
  </si>
  <si>
    <t>IRMA IDALIA NAVARRO PEÑUÑURI</t>
  </si>
  <si>
    <t>LUIS MARIO FIGUEROA AYALA</t>
  </si>
  <si>
    <t>MARIO ALBERTO FIGUEROA ALONSO</t>
  </si>
  <si>
    <t>MARGARITA ITZAYANA AYALA SIZO</t>
  </si>
  <si>
    <t>ROSA ISELA HERNANDEZ LOPEZ</t>
  </si>
  <si>
    <t>MARIAM ALEJANDRA LOPEZ CONTRERAS</t>
  </si>
  <si>
    <t xml:space="preserve">LUIS ANTONIO LOPEZ GUTIERREZ </t>
  </si>
  <si>
    <t>MYRIAM ROSALIA MORALES TORRES</t>
  </si>
  <si>
    <t>RUBEN ELEAZAR PALMA MORALES</t>
  </si>
  <si>
    <t xml:space="preserve">FELIPE ELEAZAR PALMA VALENZUELA </t>
  </si>
  <si>
    <t>GRISELDA MORALES SOMOZA</t>
  </si>
  <si>
    <t>CELSA LILIAN OCHOA LOERA</t>
  </si>
  <si>
    <t>SCARLETH ALEJANDRA MIRANDA LOPEZ</t>
  </si>
  <si>
    <t>EDUARDO MIRANDA LABORIN</t>
  </si>
  <si>
    <t>JOSEFINA LOPEZ GOMEZ</t>
  </si>
  <si>
    <t>KARLA PAOLA MIRANDA LABORIN</t>
  </si>
  <si>
    <t xml:space="preserve">SARAH CORRALES BOGUE </t>
  </si>
  <si>
    <t>FERNANDO COARRALES SALAZAR</t>
  </si>
  <si>
    <t>ANA MARIA BOGUE BARRON</t>
  </si>
  <si>
    <t>MARISELA LOPEZ</t>
  </si>
  <si>
    <t>LUCIA FERNANDA CORRALES SALAZAR</t>
  </si>
  <si>
    <t>IVANNA AMADOR CORONADO</t>
  </si>
  <si>
    <t xml:space="preserve">RAMON ENRIQUE CORRAL VEGA  Y ALICIA VALLE BARTOLINI </t>
  </si>
  <si>
    <t>TUTOR - BRENDA JUDITH GRIJALVA ORTEGA</t>
  </si>
  <si>
    <t>MARIA CRISTINA SALAZAR MARTINEZ, DOLORES ENRIQUETA LAGARDA DEL CASTILLO</t>
  </si>
  <si>
    <t>GRETTEL SOFHIA HURTADO CASTRO</t>
  </si>
  <si>
    <t>SANDRA MARIA MERAZ ARVAYO</t>
  </si>
  <si>
    <t xml:space="preserve">LIZBETH NOELIA GARCIA SALGUEIRO </t>
  </si>
  <si>
    <t>CARLOS BALTAZAR CASTILLO SANDOVAL</t>
  </si>
  <si>
    <t>CARLO SANTINO WALTERS NOGALES</t>
  </si>
  <si>
    <t>CARLO ALFREDO ANGEL MALDONADO</t>
  </si>
  <si>
    <t>ELIZABETH LILIANA MALDONADO CORONA</t>
  </si>
  <si>
    <t>ALONSO GAXIOLA DUARTE</t>
  </si>
  <si>
    <t>RUBEN GAXIOLA ESQUER</t>
  </si>
  <si>
    <t>ISABEL DUARTE MIRANDA</t>
  </si>
  <si>
    <t>LUZ DEL CARMEN GAXIOLA ESQUER</t>
  </si>
  <si>
    <t>OLMO FIERRO CONTRERAS</t>
  </si>
  <si>
    <t>ITZIA PAOLA DIAZ HURTADO</t>
  </si>
  <si>
    <t>LUIS OSVALDO DIAZ OSUNA</t>
  </si>
  <si>
    <t>PAOLA HURTADO BARRERAS</t>
  </si>
  <si>
    <t>JESUS ISAAC MARTINEZ GALAZ</t>
  </si>
  <si>
    <t>ABELARDO GALAZ LUZANIA</t>
  </si>
  <si>
    <t>KATHERY IVONNE RUIZ BUSTAMANTE</t>
  </si>
  <si>
    <t>CARLOS ANTONIO RUIZ TARANGO</t>
  </si>
  <si>
    <t>LAURA IBETH BUSTAMANTE CASTRO</t>
  </si>
  <si>
    <t>MARTHA ALMADA AYALA</t>
  </si>
  <si>
    <t>PAOLA REGINA GARCIA CAMARGO</t>
  </si>
  <si>
    <t>RUBEN GARCIA NAFARRETE</t>
  </si>
  <si>
    <t>KARINA CAMARGO BELTRAN</t>
  </si>
  <si>
    <t>ANA KARINA GARCIA CAMARGO</t>
  </si>
  <si>
    <t>SAMANTHA SOFIA RUIZ ROMERO</t>
  </si>
  <si>
    <t>JOSE ANTONIO RUIZ SALIDO</t>
  </si>
  <si>
    <t>ULDA EUNICE ROMERO LOPEZ</t>
  </si>
  <si>
    <t>JUDITH YANIRA GUERRERO RIOS</t>
  </si>
  <si>
    <t xml:space="preserve">SOFIA AYALA MENDOZA </t>
  </si>
  <si>
    <t xml:space="preserve">JESUS ARNULFO AYALA MURILLO </t>
  </si>
  <si>
    <t xml:space="preserve">IDALIA MARITZA MENDOZA GALLEGOS </t>
  </si>
  <si>
    <t>VICTOR JOSUE LOPEZ PEREZ</t>
  </si>
  <si>
    <t>MIGUEL LOPEZ RODRIGUEZ</t>
  </si>
  <si>
    <t xml:space="preserve">MAYRA GUADALUPE MENDOZA GALLEGOS </t>
  </si>
  <si>
    <t>YEMIL ADRIANA MENDOZA SEJUDO</t>
  </si>
  <si>
    <t>OLIVER ADRIAN MENDOZA VILLEGAS</t>
  </si>
  <si>
    <t>YEMIL ELENA SEJUDO SOLANO</t>
  </si>
  <si>
    <t>YAIREE DANIELA ARREDONDO SOLANO</t>
  </si>
  <si>
    <t>MARIAN AMARAL GONZALEZ</t>
  </si>
  <si>
    <t>MARCO ANTONIO AMARAL NIEBLAS</t>
  </si>
  <si>
    <t>CLAUDIA YOSIRI GONZALEZ CASTILLO</t>
  </si>
  <si>
    <t>JOSE ELOHIM AMARAL NIEBLAS</t>
  </si>
  <si>
    <t xml:space="preserve">ARTURO JACOME ROBLES </t>
  </si>
  <si>
    <t>ERIKA MARTINEZ CALERA</t>
  </si>
  <si>
    <t>DINA MARIBELL LIZARRAGA CORONADO</t>
  </si>
  <si>
    <t>ALEX EDUARDO AYON ALVAREZ</t>
  </si>
  <si>
    <t>DANNA PHOEBE DELGADILLO MARIÑEZ</t>
  </si>
  <si>
    <t>FRANCISCO JAVIER DELGADILLO HERNANDEZ</t>
  </si>
  <si>
    <t>DIANA PHOEBE MARIÑEZ RENTERIA</t>
  </si>
  <si>
    <t xml:space="preserve">JAQUELINE NICOLE RUIZ MARTINEZ </t>
  </si>
  <si>
    <t>ABELARDO SOTO LIZARRAGA</t>
  </si>
  <si>
    <t xml:space="preserve">MARTIN ABRAHAM Y THANAIRI </t>
  </si>
  <si>
    <t>MARTIN ESPINOZA MEDINA</t>
  </si>
  <si>
    <t>JOSEFINA SOTO ESCALANTE</t>
  </si>
  <si>
    <t>RICARDO GONZALEZ GRIJALVA</t>
  </si>
  <si>
    <t>ALMA VERONICA LOBIO VIZCARRA</t>
  </si>
  <si>
    <t>CARLOS TELLEZ QUIJADA</t>
  </si>
  <si>
    <t>DULCE PLATH</t>
  </si>
  <si>
    <t>GILBERTO MAZON ACOSTA</t>
  </si>
  <si>
    <t>ISELA CRISTINA LOPEZ LOPEZ</t>
  </si>
  <si>
    <t>JOSE ARMANDO ARCE SANDOVAL</t>
  </si>
  <si>
    <t>JUAN ANTONIO GUTIERREZ OCAMPO</t>
  </si>
  <si>
    <t>MARIANA SAAVEDRA PALOMARES</t>
  </si>
  <si>
    <t xml:space="preserve">VERONICA ALEJANDRA VAZQUEZ GARCIA </t>
  </si>
  <si>
    <t>MARIA VALENZUELA GUTIERREZ</t>
  </si>
  <si>
    <t>ROSALVA ROMERO VEGA</t>
  </si>
  <si>
    <t>ALAN MAURICIO ARVIZU ESPINOZA</t>
  </si>
  <si>
    <t>JOSE DE JESUS ARVIZU TRASVIÑA</t>
  </si>
  <si>
    <t>ISAURA LORETO MARTINEZ VALENZUELA</t>
  </si>
  <si>
    <t>AXEL DANIEL TARAZON GALINDO</t>
  </si>
  <si>
    <t>ROQUE ALAN TARAZON MORENO</t>
  </si>
  <si>
    <t>YESICA YESENIA GALINDO CASTILLO</t>
  </si>
  <si>
    <t>MARCO ANTONIO VEGA ARGUELLES</t>
  </si>
  <si>
    <t>CAMILA ESTRADA JUAREZ</t>
  </si>
  <si>
    <t>RENE ESTRADA MARQUEZ</t>
  </si>
  <si>
    <t>CAMINO JUAREZ LUCERO</t>
  </si>
  <si>
    <t>BLANCA ESTELA MARQUEZ URBINA</t>
  </si>
  <si>
    <t>CAMILA REINA URIAS</t>
  </si>
  <si>
    <t>RUBEN DARIO REINA RUIZ</t>
  </si>
  <si>
    <t>GEMA URIAS REYNA</t>
  </si>
  <si>
    <t>ELDA LIDIA URIAS REINA</t>
  </si>
  <si>
    <t>CARLOS MIGUEL ROBLES MEDELLIN</t>
  </si>
  <si>
    <t>DENZEL ANDRES FIGUEROA ANGÜEZ</t>
  </si>
  <si>
    <t>RAMON ADOLFO FIGUEROA RODRIGUEZ</t>
  </si>
  <si>
    <t>FERNANDA LIZETH ANGÜEZ ENCINAS</t>
  </si>
  <si>
    <t>DULCE MARIA GONZALEZ BAJECA</t>
  </si>
  <si>
    <t xml:space="preserve">GEMA VANESSA REINA URIAS </t>
  </si>
  <si>
    <t>GEMMA ALEJANDRA MARTINEZ URIAS</t>
  </si>
  <si>
    <t>GRETEL PEÑA VALDEZ</t>
  </si>
  <si>
    <t>EFREN PEÑA CARRILLO</t>
  </si>
  <si>
    <t>GEORGINA EDEN VALDEZ VILLEGAS</t>
  </si>
  <si>
    <t>HANIA REGINA AGUIRRE DURAZO</t>
  </si>
  <si>
    <t>DANIEL GERARDO AGUIRRE LUGO</t>
  </si>
  <si>
    <t>HANAE DURAZO RUIZ</t>
  </si>
  <si>
    <t>ELVIRA ALICIA OCAÑO SALCIDO</t>
  </si>
  <si>
    <t>JESUS SANTIAGO CASTILLO SANCHEZ</t>
  </si>
  <si>
    <t>CARLOS GUILLERMO CASTILLO VELARDE</t>
  </si>
  <si>
    <t>MARIA DEL CARMEN SANCHEZ BOJORQUEZ</t>
  </si>
  <si>
    <t>CHRISTIAN RAFAEL MENDEZ ARECHIGA</t>
  </si>
  <si>
    <t>MARIANGELA BALDERRAMA ARENAS</t>
  </si>
  <si>
    <t>HORACIO BALDERRAMA COTA</t>
  </si>
  <si>
    <t>MAYRA DEL REFUGIO ARENAS MONGE</t>
  </si>
  <si>
    <t>ARIADNA VALENZUELA VELAZQUEZ</t>
  </si>
  <si>
    <t>MARIA JOSE IBARRA DE LA ROSA</t>
  </si>
  <si>
    <t>MARIO ALEJANDRO IBARRA GALAVIZ</t>
  </si>
  <si>
    <t>ANGELINA JARIANTI DE LA ROSA RUIZ</t>
  </si>
  <si>
    <t>MARTHA MARIA SOTO ESCALANTE</t>
  </si>
  <si>
    <t>MARIA JOSE RIVERA TREJO</t>
  </si>
  <si>
    <t>RODOLFO ULISES RIVERA LANDAVERDE</t>
  </si>
  <si>
    <t>JESUS BLANCA MARIA TREJO VALENZUELA</t>
  </si>
  <si>
    <t>IXCHEL BERNARDETT TREJO VALENZUELA</t>
  </si>
  <si>
    <t>REGINA SOTO VALENCIA</t>
  </si>
  <si>
    <t>JOSE ERNESTO SOTO BARRERA</t>
  </si>
  <si>
    <t>ALEJANDRA VALENCIA VILLAESCUZA</t>
  </si>
  <si>
    <t>ANA ELENA RODRIGUEZ BALDENEGRO</t>
  </si>
  <si>
    <t>SOFIA ALEJANDRA PIRI RODRIGUEZ</t>
  </si>
  <si>
    <t>FRANCISCO JAVIER PIRI SOTO</t>
  </si>
  <si>
    <t>MARIELA GUADALUPE RODRIGUEZ VERDUGO</t>
  </si>
  <si>
    <t>MARIA SOLEDAD RODRIGUEZ VERDUGO</t>
  </si>
  <si>
    <t>VALENTINA REINA URIAS</t>
  </si>
  <si>
    <t xml:space="preserve">RUBEN DARIO REINA RUIZ </t>
  </si>
  <si>
    <t>DANITZA URIAS REYNA</t>
  </si>
  <si>
    <t>VALERIA EDITH SALAS DAVILA</t>
  </si>
  <si>
    <t>SERGIO JESUS SALAS VALDEZ</t>
  </si>
  <si>
    <t>CLAUDIA EDITH DAVILA GARCIA</t>
  </si>
  <si>
    <t>SANDRA LETICIA DAVILA GARCIA</t>
  </si>
  <si>
    <t xml:space="preserve">CEDE PARROQUIA NSPAZ </t>
  </si>
  <si>
    <t>CATECUMENOS</t>
  </si>
  <si>
    <t>JESUS RAMIRO BRAUN PARRA</t>
  </si>
  <si>
    <t>JESUS EL SEÑOR - CARMEN</t>
  </si>
  <si>
    <t>NUESTRA SEÑORA DE LA PAZ - MARIBEL</t>
  </si>
  <si>
    <t>ANDREA MINET MALDONADO AGUIRRE</t>
  </si>
  <si>
    <t>RAFAEL OMAR MALDONADO JAUREGUI</t>
  </si>
  <si>
    <t>ADRIANA MINET AGUIRRE</t>
  </si>
  <si>
    <t xml:space="preserve">MARTHA LUCIA SANCHEZ ORENDAIN </t>
  </si>
  <si>
    <t>CAMILA ISABEL MARTINEZ MARTINEZ</t>
  </si>
  <si>
    <t>TADEO FRANCISCO MARTINEZ ZAZUETA</t>
  </si>
  <si>
    <t>DEREK ARTURO RIVERA COLIN</t>
  </si>
  <si>
    <t>ARTURO RIVERA SAAVEDRA</t>
  </si>
  <si>
    <t>RAQUEL COLIN MAYORGA</t>
  </si>
  <si>
    <t>INGRID REBECA LEON COLIN</t>
  </si>
  <si>
    <t>EDWIN ALEXIS TEQUIDA GALAZ</t>
  </si>
  <si>
    <t>ESTEBAN TEQUIDA VILLALOBOS</t>
  </si>
  <si>
    <t>CRUZ YENI GALAZ GALAZ</t>
  </si>
  <si>
    <t>KARLA SELENE CORTEZ CARRILLO</t>
  </si>
  <si>
    <t>EMILY IRIQUI CUBILLAS</t>
  </si>
  <si>
    <t>JOSE ROSARIO IRIQUI BARRA</t>
  </si>
  <si>
    <t>EMILIA GUADALUPE CUBILLAS VALENZUELA</t>
  </si>
  <si>
    <t>JOSE CARLOS IRIQUI CUBILLAS</t>
  </si>
  <si>
    <t>GAEL HERNANDEZ GONZALEZ</t>
  </si>
  <si>
    <t>GERARDO HERNANDEZ HERNANDEZ</t>
  </si>
  <si>
    <t>NORMA ANGELICA GONZALEZ LARA</t>
  </si>
  <si>
    <t xml:space="preserve">HALEY JUDITH LEYVA LAGUNA </t>
  </si>
  <si>
    <t>GABRIEL LEYVA MEDRANO</t>
  </si>
  <si>
    <t>REBECA IMELDA LAGUNA FIGUEROA</t>
  </si>
  <si>
    <t>BEATRIZ AURORA HIGUERA FIGUEROA</t>
  </si>
  <si>
    <t xml:space="preserve">ISAAC EMILIO ARVIZU VERDUGO </t>
  </si>
  <si>
    <t>CYNTIACHRISTINA VERDUGO GALVEZ</t>
  </si>
  <si>
    <t xml:space="preserve">JESUS ALBERTO PLATT GARIBAY </t>
  </si>
  <si>
    <t>JESUS ALBERTO PLATT VALDEZ</t>
  </si>
  <si>
    <t>JUDITH DEYANIRA GARIBAY LINCE</t>
  </si>
  <si>
    <t>CARLOS ESPINOZA HINOJOSA</t>
  </si>
  <si>
    <t>LIA VICTORIA FLORES VEGA</t>
  </si>
  <si>
    <t>MIGUEL EMILIANO FLORES VALDEZ</t>
  </si>
  <si>
    <t>KENIA GUADALUPE VEGA VEGA</t>
  </si>
  <si>
    <t>JUAN RAFAEL VEGA VEGA</t>
  </si>
  <si>
    <t>MARIA FERNANDA VEGA CORRAL</t>
  </si>
  <si>
    <t xml:space="preserve">MARIA JOSE NAVARRO VALENZUELA </t>
  </si>
  <si>
    <t>LAURA KARINA VALENZUELA CUEVAS</t>
  </si>
  <si>
    <t>MILAGROS LECHUGA MARTINEZ</t>
  </si>
  <si>
    <t>SOCORRO LIZZETTE MARTINEZ TANORI</t>
  </si>
  <si>
    <t>LUCIA DE JESUS IBARRA VASQUEZ</t>
  </si>
  <si>
    <t>MILESHKA LECHUGA MARTINEZ</t>
  </si>
  <si>
    <t>EMMA YAMEL GODINEZ VALENZUELA</t>
  </si>
  <si>
    <t>NATALIA YAÑEZ SOTO</t>
  </si>
  <si>
    <t>EFRAIN YAÑEZ VALDEZ</t>
  </si>
  <si>
    <t>GABRIEL SOTO ALVAREZ</t>
  </si>
  <si>
    <t>NAZLI MIRANDA MEZA DORAME</t>
  </si>
  <si>
    <t>JOSE FRANCISCO MEZA MANCHA</t>
  </si>
  <si>
    <t>PAULINA GUADALUPE DORAME ACUÑA</t>
  </si>
  <si>
    <t>SEYDEE ARLAE LOPEZ RAMIREZ</t>
  </si>
  <si>
    <t>LIZETH ALEJANDRA VILLARRUEL VELAZCO</t>
  </si>
  <si>
    <t>KARINA ENCIANAS VELASCO</t>
  </si>
  <si>
    <t>OSCAR FRANCISCO ESPINOZA GARCIA</t>
  </si>
  <si>
    <t>RAMON TEODORO ESPINOZA FLORES</t>
  </si>
  <si>
    <t xml:space="preserve">KENYA GARCIA PUENTE </t>
  </si>
  <si>
    <t>MICHELLE GARCIA PUENTE</t>
  </si>
  <si>
    <t>SANTIAGO ALONSO CERVANTES OCHOA</t>
  </si>
  <si>
    <t>MARTIN ALONSO CERVANTES HUERTA</t>
  </si>
  <si>
    <t>CECILIA GUADALUPE OCHOA LUGO</t>
  </si>
  <si>
    <t>DORIEL ITZEL HERNANDEZ ENCINAS</t>
  </si>
  <si>
    <t>SANTIAGO IÑAKI MOSQUEIRA SOTO</t>
  </si>
  <si>
    <t>CESAR CUAUHTEMOC MOSQUEIRA TAPIA</t>
  </si>
  <si>
    <t>PATRICIA SOTO SANDOVAL</t>
  </si>
  <si>
    <t>CYNTIA CHRISTIAN VERDUGO GALVEZ</t>
  </si>
  <si>
    <t>VALENTINA TORRES RIVERA</t>
  </si>
  <si>
    <t>LIZBETT KARINA TORRES RIVERA</t>
  </si>
  <si>
    <t>ELIZABETH PERALTA REPRIETO</t>
  </si>
  <si>
    <t>SAN PIO DE PIETRELCINA - GLADYS</t>
  </si>
  <si>
    <t>ALLISON NICOLE SOTO ESPINOZA</t>
  </si>
  <si>
    <t>ARTURO SOTO PARAMO</t>
  </si>
  <si>
    <t>ADRIANA CAROLINA ESPINOZA</t>
  </si>
  <si>
    <t>VERONICA GUADALUPE ESPINOZA MERAZ</t>
  </si>
  <si>
    <t>ANGELES CAROLINA ANTELO COHEN</t>
  </si>
  <si>
    <t>ALFREDO ANTELO NORIEGA</t>
  </si>
  <si>
    <t>MARIA DE LOURDES COHEN TANORI</t>
  </si>
  <si>
    <t>GUADALUPE ESPERANZA COHEN TANORI</t>
  </si>
  <si>
    <t>ESTRELLA LIZBETH GARCIA ARREDONDO</t>
  </si>
  <si>
    <t>CARLOS GARCIA ESQUER</t>
  </si>
  <si>
    <t>LIZBETH GUADALUPE ARREDONDO ENCINAS</t>
  </si>
  <si>
    <t>MARIA GUADALUPE RAMOS CASTILLO</t>
  </si>
  <si>
    <t>IRAN LEOBARDO HERNANDEZ MARTIN DEL CAMPO</t>
  </si>
  <si>
    <t>JOSELIN ITXEL LOMELI PRIETO</t>
  </si>
  <si>
    <t>JOSE LUCIANO LOMELI BARRAGAN</t>
  </si>
  <si>
    <t>MARIANA ELIZABETH MARQUEZ AYALA</t>
  </si>
  <si>
    <t>LUIS ALBERTO MARQUEZ SILVA</t>
  </si>
  <si>
    <t>FRANCISCA NOHEMI AYALA SIZO</t>
  </si>
  <si>
    <t>MAYRA GISELLA SALAS QUEZADA</t>
  </si>
  <si>
    <t>HECTOR ABDIEL SALAS SALAS</t>
  </si>
  <si>
    <t>MAYRA JESUS QUEZADA MURGUIA</t>
  </si>
  <si>
    <t>PETRA MURGUIA LEON</t>
  </si>
  <si>
    <t>SHAIRA LOURDES VAZQUEZ ARELLANO</t>
  </si>
  <si>
    <t>JUAN PABLO LIMON VALDEZ</t>
  </si>
  <si>
    <t>NUESTRA SEÑORA DE LA PAZ - REBECA</t>
  </si>
  <si>
    <t>AARON DAVID AHUMADA ISLAS</t>
  </si>
  <si>
    <t>ROBERTO ARTURO AHUMADA FOX</t>
  </si>
  <si>
    <t>JESUS VARGAS HERRERA</t>
  </si>
  <si>
    <t>ADRIAN EMILIO DURAN TORRES</t>
  </si>
  <si>
    <t>REYNALDO DURAN URQUIJO</t>
  </si>
  <si>
    <t>ALANN ALEJANDRO VARGAS LEON</t>
  </si>
  <si>
    <t>PAOLA CAROLINA LEON MERCADO</t>
  </si>
  <si>
    <t>MARIA HORTENSIA OLEA DAVILA</t>
  </si>
  <si>
    <t>ALISS MORENO GARCIA</t>
  </si>
  <si>
    <t>ABRAHAM MORENO ARANA</t>
  </si>
  <si>
    <t>LILIAN MARIBEL GARCIA LEYVA</t>
  </si>
  <si>
    <t>ALONSO CORDOVA ESPINOZA</t>
  </si>
  <si>
    <t>CARLOS ALONSO CORDOVA MEYER</t>
  </si>
  <si>
    <t>CECILIA DEL CARMEN ESPINOZA LEYVA</t>
  </si>
  <si>
    <t>LIZBETH CORDOVA MEYER</t>
  </si>
  <si>
    <t>CARLOS ABRAHAM GUTIERREZ SANCHEZ</t>
  </si>
  <si>
    <t>CARLOS ABRAHAM GUTIERREZ CAÑEZ</t>
  </si>
  <si>
    <t>MYRNA JANETT SANCHEZ PACHECO</t>
  </si>
  <si>
    <t>ROSA ELVIA PACHECO BUJANDA</t>
  </si>
  <si>
    <t>CAROLINA PERALTA GAONA</t>
  </si>
  <si>
    <t>CARLOS ARMANDO PERALTA GARCIA</t>
  </si>
  <si>
    <t>ANA FLORA GAONA AGUAYO</t>
  </si>
  <si>
    <t>ANAHI GUADALUPE ROJAS PERALTA</t>
  </si>
  <si>
    <t>DANIELA CAMILA MEDINA CANCHOLA</t>
  </si>
  <si>
    <t>JESUS ABELARDO MEDINA VALENZUELA</t>
  </si>
  <si>
    <t>ELIZABETH CANCHOLA RUIZ</t>
  </si>
  <si>
    <t>DANNA CAMILA VARGAS LEON</t>
  </si>
  <si>
    <t>DIEGO SEBASTIAN MUÑOZ DUEÑAS</t>
  </si>
  <si>
    <t>FATIMA FABIOLA DUEÑAS</t>
  </si>
  <si>
    <t>ADRIANA MUÑOZ MEDINA</t>
  </si>
  <si>
    <t>FERNANDA PAOLA SEVILLA NEVAREZ</t>
  </si>
  <si>
    <t>AARON FERNANDO SEVILLA COTA</t>
  </si>
  <si>
    <t>GLORIA GABRIELA NEVAREZ SERNA</t>
  </si>
  <si>
    <t>MARIA ANTONIETA MURILLO NAVARRETE</t>
  </si>
  <si>
    <t>GRECIA ISABELLA VALDEZ CABUTO</t>
  </si>
  <si>
    <t xml:space="preserve">ALAN DANIEL VALDEZ OROZCO </t>
  </si>
  <si>
    <t>JAYLI CASTRO VANEGAS</t>
  </si>
  <si>
    <t>JUDITH EMILIA PLATT GARIBAY</t>
  </si>
  <si>
    <t>KARINA GARIBAY LINCE</t>
  </si>
  <si>
    <t>JOSE CARLOS RODRIGUEZ MENDIVIL</t>
  </si>
  <si>
    <t>ALAN RODRIGUEZ VELDUCEA</t>
  </si>
  <si>
    <t>REYNA LUZ MENDIVIL SALMON</t>
  </si>
  <si>
    <t>LUZ DEL CARMEN CORONADO PONCE</t>
  </si>
  <si>
    <t>LUCIA SAUCEDO NORIEGA</t>
  </si>
  <si>
    <t>GABRIEL SAUCEDO MUÑOZ</t>
  </si>
  <si>
    <t>OLIVIA NORIEGA LEON</t>
  </si>
  <si>
    <t>JUDITH LUCIA MARTINEZ NORIEGA</t>
  </si>
  <si>
    <t>LUZ ELENA BASACA ACUÑA</t>
  </si>
  <si>
    <t>MARCO ANTONIO GALINDO HERNANDEZ</t>
  </si>
  <si>
    <t>PBRO. MARTIN GERARDO HERNANDEZ MORENO</t>
  </si>
  <si>
    <t>MARIA IVANNA COTA TAPIA</t>
  </si>
  <si>
    <t>MARCO ANTONIO GALINDO RUIZ DE CHAVEZ</t>
  </si>
  <si>
    <t>NORMA ALICIA HERNANDEZ ZAYAS</t>
  </si>
  <si>
    <t>SERGIO VALENZUELA COTA</t>
  </si>
  <si>
    <t>JOSE ANGEL COTA VELARDE</t>
  </si>
  <si>
    <t>ALEJANDRA GUADALUPE TAPIA BARRIOS</t>
  </si>
  <si>
    <t>MARIA ELODIA COTA VELARDE</t>
  </si>
  <si>
    <t>MARIAN FLORES GUTIERREZ</t>
  </si>
  <si>
    <t>JORGE JESUS FLORES ENCINAS</t>
  </si>
  <si>
    <t>VERONICA GUTIERREZ GIOTTONINI</t>
  </si>
  <si>
    <t>MARIA ALEJANDRA FLORES ENCINAS</t>
  </si>
  <si>
    <t>EDNA GUADALUPE AMAYA FIGUEROA</t>
  </si>
  <si>
    <t>MANUEL DE JESUS AMAYA FIGUEROA</t>
  </si>
  <si>
    <t>THANIA REBECA LEON DOMINGIUEZ</t>
  </si>
  <si>
    <t>VICTOR HUGO LEON DE LA CRUZ</t>
  </si>
  <si>
    <t>YESSICA YADIRA DOMINGUEZ MEJIA</t>
  </si>
  <si>
    <t>TOMAS LEON DE LA CRUZ</t>
  </si>
  <si>
    <t>ANA SOFIA RENDON OLEA</t>
  </si>
  <si>
    <t>ANNIA BETZABETH DUARTE FELIX</t>
  </si>
  <si>
    <t>ANDRE VERDIGUEL BAHENA</t>
  </si>
  <si>
    <t>CHRISTIAN RAMIRO RENDON OLEA</t>
  </si>
  <si>
    <t>FRANCISCO JAVIER GUTIERREZ QUEZADA</t>
  </si>
  <si>
    <t xml:space="preserve">JOSE ENRIQUE PAZ FELIX </t>
  </si>
  <si>
    <t>NUESTRA SEÑORA DE LA PAZ - BRENDA</t>
  </si>
  <si>
    <t>LUIS RICARDO CAMARGO LOPEZ</t>
  </si>
  <si>
    <t>MARIANA PAULETTE CAMARGO LOPEZ</t>
  </si>
  <si>
    <t>MELISSA RODRIGUEZ ROSAS</t>
  </si>
  <si>
    <t>MIA FERNANDA PAZ FELIX</t>
  </si>
  <si>
    <t>MILDRED VICTORIA ESCALANTE BLANCARTE</t>
  </si>
  <si>
    <t>REGINA VIANEY CASTRO LOPEZ</t>
  </si>
  <si>
    <t>REGINA RASCON ARBAYO</t>
  </si>
  <si>
    <t>REYNA GUADALUPE DUARTE REYES</t>
  </si>
  <si>
    <t>SAMUEL ALEJANDRO ALVAREZ FELIX</t>
  </si>
  <si>
    <t>SOFIA CAROLINA CONTRERAS HUERTA</t>
  </si>
  <si>
    <t>SEBASTIAN ARCE SANDOVAL</t>
  </si>
  <si>
    <t>SEBASTIAN ALEJANDRO RUBAL LOPEZ</t>
  </si>
  <si>
    <t>XIMENA JUVERA MELENDREZ</t>
  </si>
  <si>
    <t>NUESTRA SEÑORA DE LA PAZ - ADULTOS</t>
  </si>
  <si>
    <t>ADULTOS</t>
  </si>
  <si>
    <t>FATIMA DENISSE MORENO FIERRO</t>
  </si>
  <si>
    <t>BERENICE BENITEZ ALVAREZ</t>
  </si>
  <si>
    <t>MIGUEL ANGEL BENITEZ PERALTA</t>
  </si>
  <si>
    <t>HERMELINDA ALVAREZ MONTIEL</t>
  </si>
  <si>
    <t>ELIZABETH PLATH NIDES</t>
  </si>
  <si>
    <t>GABRIELA MIRANDA REYES</t>
  </si>
  <si>
    <t>LUIS MORENO ALONSO</t>
  </si>
  <si>
    <t>OLGA FIERRO HERNANDEZ</t>
  </si>
  <si>
    <t>KARLA YAMILETH MORENO RAMIREZ</t>
  </si>
  <si>
    <t>CARLOS HUMBERTO MORENO ARMENTA</t>
  </si>
  <si>
    <t>SILVIA LEONOR RAMIREZ CHAVEZ</t>
  </si>
  <si>
    <t>MARIA FERNANDA FLORES RAMIREZ</t>
  </si>
  <si>
    <t>CARLOS MARTIN TELLEZ BERKIWITZ</t>
  </si>
  <si>
    <t>MANUELA QUIJADA QUIJADA</t>
  </si>
  <si>
    <t>MARIA FERNANDA TELLEZ QUIJADA</t>
  </si>
  <si>
    <t>ELIZABETH PATH NIDES</t>
  </si>
  <si>
    <t>JAIME CAZARES VELDERRAIN</t>
  </si>
  <si>
    <t>MARIO LOPEZ ORDUÑO</t>
  </si>
  <si>
    <t>MARTHA DELIA LOPEZ TANORI</t>
  </si>
  <si>
    <t>MARIA ELIZABETH ENCINAS MEJIA</t>
  </si>
  <si>
    <t>JOSE ANGEL DUARTE ACOSTA</t>
  </si>
  <si>
    <t>JOSE LUIS DUARTE COTA</t>
  </si>
  <si>
    <t>MARIA DEL ROSARIO ACOSTA QUINTANA</t>
  </si>
  <si>
    <t>GUADALUPE ELENA LOPEZ PERALTA</t>
  </si>
  <si>
    <t>JOSE ARMANDO ARCE AGUILAR</t>
  </si>
  <si>
    <t>MARIA EUGENIA SANDOVAL NOLASCO</t>
  </si>
  <si>
    <t>JUAN GASTON GUTIERREZ CRUZ</t>
  </si>
  <si>
    <t>HAYDEE MARGARITA OCAMPO BEJARANO</t>
  </si>
  <si>
    <t>SERGIO ENRIQUE ETCHECHURIY OCAMPO</t>
  </si>
  <si>
    <t>JUAN MANUEL SAAVEDRA COTA</t>
  </si>
  <si>
    <t>AIDA GUADALUPE PALOMARES GARCIA</t>
  </si>
  <si>
    <t xml:space="preserve">MAUD NEREYDA OLIVARES QUINTANAR </t>
  </si>
  <si>
    <t>FRANCISCO JAVIER VAZQUEZ GALVEZ</t>
  </si>
  <si>
    <t>SANDRA VERONICA GARCIA GUEREÑA</t>
  </si>
  <si>
    <t>ANDRES VAZQUEZ GALVEZ</t>
  </si>
  <si>
    <t>VANESSA PATRICIA BLANCARTE LIMON</t>
  </si>
  <si>
    <t>RAMIRO RENDON RENTERIA</t>
  </si>
  <si>
    <t>MARIA HORTENSIA OLEA  DAVILA</t>
  </si>
  <si>
    <t>MIRZA HERRERA MORAGA</t>
  </si>
  <si>
    <t>LUIS ALBERTO VERDIGUEL MORENO</t>
  </si>
  <si>
    <t>ELIZABETH BAHENA CASTAÑEDA</t>
  </si>
  <si>
    <t>MARIA TERESA CASTAÑEDA CABANILLAS</t>
  </si>
  <si>
    <t>EDITH CECILIA OLEA DAVILA</t>
  </si>
  <si>
    <t>RICARDO ELIAEL MADA CLARK</t>
  </si>
  <si>
    <t>DIANA MARIA BACARICIA TANORI</t>
  </si>
  <si>
    <t>FRANCISCO JAVIER GUTIERREZ NEGRETE</t>
  </si>
  <si>
    <t>MARIA GLORIA QUEZADA JIMENEZ</t>
  </si>
  <si>
    <t>JOSE RAMON GUTIERREZ NEGRETE</t>
  </si>
  <si>
    <t>FRANCISCA RIVERA PALAFOX</t>
  </si>
  <si>
    <t>MARIA JESUS VERDUGO ROMERO</t>
  </si>
  <si>
    <t>RENE ALEXANDER CAMARGO TORRES</t>
  </si>
  <si>
    <t>ANA LAURA LOPEZ COVARRUBIAS</t>
  </si>
  <si>
    <t>PAULINA GIRON GARCIA</t>
  </si>
  <si>
    <t>BEATRIZ ALEJANDRA GARCES FIMBRES</t>
  </si>
  <si>
    <t>JOSE FRANCISCO PAZ SANTA CRUZ</t>
  </si>
  <si>
    <t>EDNA LILLIAN FELIX RIVERA</t>
  </si>
  <si>
    <t>MARIA DE LOS ANGELEZ PAZ ARVIZU</t>
  </si>
  <si>
    <t>FRANCISCO SANTIAGO ESCALANTE GARCIA</t>
  </si>
  <si>
    <t>LORENA IVETH BLANCARTE LIMON</t>
  </si>
  <si>
    <t>MAYTE DEL CARMEN LOPEZ CARRANZA</t>
  </si>
  <si>
    <t>CESAR RUBEN RASCON MUÑOZ</t>
  </si>
  <si>
    <t xml:space="preserve">ROSARIO EDITH ARBAYO RUIZ </t>
  </si>
  <si>
    <t>MARGARITA MARISOL CARRANZA GONZALEZ</t>
  </si>
  <si>
    <t>JAIME DUARTE RODRIGUEZ</t>
  </si>
  <si>
    <t>DALIA REYES HOLGUIN</t>
  </si>
  <si>
    <t>HAYDEE REYES HOLGUIN</t>
  </si>
  <si>
    <t>GERARDO CONTRERAS RIVERA</t>
  </si>
  <si>
    <t>MARIA ELVIA HUERTA LOPEZ</t>
  </si>
  <si>
    <t>CYNTHIA DEL CARMEN HUERTA LOPEZ</t>
  </si>
  <si>
    <t>REYNALDO SANDOVAL NOLASCO</t>
  </si>
  <si>
    <t>CHRISTIAN ALEJANDRO RUBAL TRUJILLO</t>
  </si>
  <si>
    <t>KARLA FERNANDA LOPEZ GALVEZ</t>
  </si>
  <si>
    <t>VICENTE ORLANDO RUBAL TRUJILLO</t>
  </si>
  <si>
    <t>HECTOR MANUEL JUVERA AYALA</t>
  </si>
  <si>
    <t>KARLA PATRICIA MELENDREZ OBREGON</t>
  </si>
  <si>
    <t>ELSA PATRICIA JUVERA AYALA</t>
  </si>
  <si>
    <t>NUESTRA SEÑORA DE LA PAZ - RECIBIDOS DE OTRAS PARROQUIAS</t>
  </si>
  <si>
    <t>NIÑO O NIÑA</t>
  </si>
  <si>
    <t>EMILIO VALDEZ RODRIGUEZ</t>
  </si>
  <si>
    <t>LUZ GABRIELA RODRIGUEZ FIERRO</t>
  </si>
  <si>
    <t>JOSE RAMON VALDEZ MUÑOZ</t>
  </si>
  <si>
    <t>FORTUNATO MAZON AGUILAR</t>
  </si>
  <si>
    <t>GLORIA ACOSTA ARMENTA</t>
  </si>
  <si>
    <t>NEMESIA OLMOS CASAS</t>
  </si>
  <si>
    <t>ROSINA DUARTE RIOS</t>
  </si>
  <si>
    <t>DARIO GERARDO VILLELAS DOMNGUEZ</t>
  </si>
  <si>
    <t>ARGELIA GUADALUPE VILLELAS DOMINGUEZ</t>
  </si>
  <si>
    <t>EDUARDO CAMARGO FELIX</t>
  </si>
  <si>
    <t>MARIA ANA ROMERO QUIÑONEZ</t>
  </si>
  <si>
    <t>MARIEL ALEJANDRA VEGA ISLAS</t>
  </si>
  <si>
    <t>REGINA BARRANCO VALENZUELA</t>
  </si>
  <si>
    <t>GABRIEL ALEJANDRO BARRANCO</t>
  </si>
  <si>
    <t>GLADYS MARIA VALENZUELA JIMENEZ</t>
  </si>
  <si>
    <t>JESUS JOSE ARCE AGUILAR</t>
  </si>
  <si>
    <t xml:space="preserve">SANTIAGO OZUA AMAYA </t>
  </si>
  <si>
    <t>CATALINA VALENZUELA JIMENEZ</t>
  </si>
  <si>
    <t>JUANA HERNANDEZ RUBIO</t>
  </si>
  <si>
    <t>MARIA JESUS GUTIERREZ TELLEZ</t>
  </si>
  <si>
    <t>ADAN OSIEL GARCIA HERRERA</t>
  </si>
  <si>
    <t>FAUSTO FRANCISCO GARCIA BRAY</t>
  </si>
  <si>
    <t>ROXANA MARISOL HERRERA ENRIQUEZ</t>
  </si>
  <si>
    <t>ALEJANDRA CAROLINA HERRERA ENRIQUEZ</t>
  </si>
  <si>
    <t>JESUS RAUL GONZALEZ FLORES</t>
  </si>
  <si>
    <t>ELLIOT HALIL ACOSTA VALENZUELA</t>
  </si>
  <si>
    <t>NUIT HADIT ACOSTA VALENZUELA</t>
  </si>
  <si>
    <t>ANYELIN SHERLYN BELTRAN MOLINA</t>
  </si>
  <si>
    <t>VICTOR HUGO BELTRAN FELIX</t>
  </si>
  <si>
    <t>YADIRA MOLINA CARRAZCO</t>
  </si>
  <si>
    <t xml:space="preserve">VILMA GAVRIELLE INZUNZA MORENO </t>
  </si>
  <si>
    <t>MAXIMO FELIX OTERO</t>
  </si>
  <si>
    <t>GUAYMAS, SONORA</t>
  </si>
  <si>
    <t>FRANCISCO JAVIER FELIX BUSTAMANTE</t>
  </si>
  <si>
    <t xml:space="preserve">KRISTAL OMARA OTERO LOPEZ </t>
  </si>
  <si>
    <t>VALERIA FLORES BUSTAMANTE</t>
  </si>
  <si>
    <t>LOS ANGELES CALIFORNIA</t>
  </si>
  <si>
    <t>JESUS VALENZUELA VAZQUEZ</t>
  </si>
  <si>
    <t>ISABEL SOTO DEL HOYO</t>
  </si>
  <si>
    <t>SHAROL ARLETH GARCIA ALVAREZ</t>
  </si>
  <si>
    <t>JUAN RAFAEL GARCIA ALVAREZ</t>
  </si>
  <si>
    <t>SULEIMA ADRIANA ALVAREZ LOPEZ</t>
  </si>
  <si>
    <t xml:space="preserve">GERMAN LOPEZ ARMENTA </t>
  </si>
  <si>
    <t>MARIAN GONZALEZ FIMBRES</t>
  </si>
  <si>
    <t>CRISTOBAL JOEL GONZALEZ PEREZ</t>
  </si>
  <si>
    <t>DEYANIRA FIMBRES GARCIA</t>
  </si>
  <si>
    <t>JORGE OMAR FIMBRES GARCIA</t>
  </si>
  <si>
    <t>YANIRA ARIZBETH RAMIREZ ACOSTA</t>
  </si>
  <si>
    <t>PEDRO ANDRES ESQUER LAGARDA</t>
  </si>
  <si>
    <t>DIANA VERONICA ANGULO GARCIA</t>
  </si>
  <si>
    <t>ALONSO DAVID GARCIA CAMACHO</t>
  </si>
  <si>
    <t>LAURA CITLALY MAZON ESPINOZA</t>
  </si>
  <si>
    <t>VICTOR BLADIMIR NUÑEZ GONZALEZ</t>
  </si>
  <si>
    <t>BLADIMIR ALEJANDRO NUÑEZ GATTAZ</t>
  </si>
  <si>
    <t>MARIANE ANGELIKA GONZALEZ GAMBA</t>
  </si>
  <si>
    <t>JOSE VICTOR LEYVA PINEDA</t>
  </si>
  <si>
    <t>MELANIE DE JESUS GONZALEZ GAMBA</t>
  </si>
  <si>
    <t>AILANY MAYVE ROBLES RAMIREZ</t>
  </si>
  <si>
    <t xml:space="preserve">AGOSTO </t>
  </si>
  <si>
    <t>MARCO ANTONIO ROBLES FAVA</t>
  </si>
  <si>
    <t xml:space="preserve">ERIKA MICHELLE RAMIREZ LOPEZ </t>
  </si>
  <si>
    <t>JOSE ARMANDO LUZANILLA RAMIREZ</t>
  </si>
  <si>
    <t>CAMILA NICOLE RAMIREZ LOPEZ</t>
  </si>
  <si>
    <t>ALISSON ESQUER ANGULO</t>
  </si>
  <si>
    <t>GAHEL GERARDO MORENO LOPEZ</t>
  </si>
  <si>
    <t>LILIA KASSANDRA LOPEZ MENDEZ</t>
  </si>
  <si>
    <t>DANIEL GERARDO MORENO PEREZ</t>
  </si>
  <si>
    <t>EDY GUADALUPE MORENO PEREZ</t>
  </si>
  <si>
    <t>PAOLA GUADALUPE MENDEZ QUIJADA</t>
  </si>
  <si>
    <t>ORFIL LEOPOLDO GONZALEZ TEJADA</t>
  </si>
  <si>
    <t>ORFIL EDUARDO GONZALEZ ABRIL</t>
  </si>
  <si>
    <t>CINTHYA JANET TEJADA GALVEZ</t>
  </si>
  <si>
    <t>JESUS OMAR MAYTORENA SALCIDO</t>
  </si>
  <si>
    <t>FRIDA ALICIA FERNANDEZ CURIEL</t>
  </si>
  <si>
    <t>LESLY RAMIREZ ORTEGA</t>
  </si>
  <si>
    <t>FRANCISCO RAMIREZ CALVO</t>
  </si>
  <si>
    <t>AURORA ORTEGA ORTIZ</t>
  </si>
  <si>
    <t>RONALDO CHAVEZ CABRERA</t>
  </si>
  <si>
    <t>PETRITA NAVA RAMIREZ</t>
  </si>
  <si>
    <t>MARICELA ENCINAS OTHON</t>
  </si>
  <si>
    <t xml:space="preserve">JOSE MATTEO GARCIA PERALTA </t>
  </si>
  <si>
    <t>MELANIE ANADAHLAY PERALTA OLIVAS</t>
  </si>
  <si>
    <t>JULIO CESAR PACHECO ACUÑA</t>
  </si>
  <si>
    <t xml:space="preserve">IRMA DOLORES BETANCOURT OLIVAS </t>
  </si>
  <si>
    <t>JOSE GUADALUPE GARCIA MORENO</t>
  </si>
  <si>
    <t>LUIS ANTONIO FIGUEROA VILLAESCUSA</t>
  </si>
  <si>
    <t>OCTUBRER</t>
  </si>
  <si>
    <t>LUIS ALBERTO FIGUEROA</t>
  </si>
  <si>
    <t xml:space="preserve">YARELY ANTONIA VILLAESCUSA LOPEZ </t>
  </si>
  <si>
    <t>FRANCISCO ISIDRO COTA QUIJADA</t>
  </si>
  <si>
    <t>ROCIO YOSELIN SOTO BELTRAN</t>
  </si>
  <si>
    <t>LUCIANA AURORA FUENTES SALIDO</t>
  </si>
  <si>
    <t>JAIME FUENTES LOPEZ CUELLAR</t>
  </si>
  <si>
    <t>ALEJANDRA SALIDO DOMINGUEZ</t>
  </si>
  <si>
    <t>SERGIO FUENTES LOPEZ CUELLAR</t>
  </si>
  <si>
    <t>CRISTINA FUENTES LOPEZ CUELLAR Y ANETH SALIDO DOMINGUEZ</t>
  </si>
  <si>
    <t>EMMA CAROLINA ENRIQUEZ ENCINAS</t>
  </si>
  <si>
    <t>FRANCISCO ALAN ENRIQUEZ OCHOA</t>
  </si>
  <si>
    <t>IDANIA CAROLINA ENCINAS BRACAMONTES</t>
  </si>
  <si>
    <t>RICARDO ALBERTO RODRIGUEZ FELIX</t>
  </si>
  <si>
    <t>DENISSE ALEJANDRA ENCINAS BRACAMONTES</t>
  </si>
  <si>
    <t>SILVANNA MORALES AGUILAR AGUILA</t>
  </si>
  <si>
    <t>PHOENIX, MARICOPA, AZ.</t>
  </si>
  <si>
    <t>LUIS FERNANDO MORALES JIMENEZ</t>
  </si>
  <si>
    <t>GEOVANNA AGUILAR AGUILA LUGO</t>
  </si>
  <si>
    <t>DIEGO ROBERTO GARCIA BERRELLEZ</t>
  </si>
  <si>
    <t>PAULINA CASTRO VENEGAS</t>
  </si>
  <si>
    <t>SEBASTIAN MORALES AGUILAR AGUILA</t>
  </si>
  <si>
    <t>MARTIN ENRIQUE MAYTORENA LOPEZ</t>
  </si>
  <si>
    <t>NURYA LOURDES MORALES JIMENEZ</t>
  </si>
  <si>
    <t>NUESTRA SEÑORA DE LA PAZ - 30 DE MAYO DEL 2025 - 8:00 AM</t>
  </si>
  <si>
    <t>ELIAN DAVID DURAN PAZ</t>
  </si>
  <si>
    <t>DAVID ALBERTO DURAN MARTINEZ</t>
  </si>
  <si>
    <t>ALICIA SOLEDAD PAZ RIOS</t>
  </si>
  <si>
    <t>ROGELIO SANCHEZ MARTINEZ</t>
  </si>
  <si>
    <t>BARBARA JANETH DIAZ MIRANDA</t>
  </si>
  <si>
    <t>MAURICIO MILLANES TAMAYO</t>
  </si>
  <si>
    <t>FRANCISCO JAVIER MILLANES LERMA</t>
  </si>
  <si>
    <t>KIMBERLY PATRICIA TAMAYO CHAVEZ</t>
  </si>
  <si>
    <t>PABLO IVAN GARCIA MINJARES</t>
  </si>
  <si>
    <t>EUNICE MILLANES LERMA</t>
  </si>
  <si>
    <t>HANNDRI VILLANUEVA RAMOS</t>
  </si>
  <si>
    <t>NICOLAS ENRIQUE GARCIA MARTINEZ</t>
  </si>
  <si>
    <t>JESUS ENRIQUE GARCIA PEREZ</t>
  </si>
  <si>
    <t>ANA LIZBETH MARTINEZ RIVAS</t>
  </si>
  <si>
    <t>IVANNA PAULINA SILVA TORRES</t>
  </si>
  <si>
    <t>CARLOS ANTONIO SILVA FRAGOSO</t>
  </si>
  <si>
    <t>HILDA YUVITZIA TORRES ESPINOZA</t>
  </si>
  <si>
    <t>LUISA FERNANDA TORRES ESPINOZA</t>
  </si>
  <si>
    <t>ROCIO GUADALUPE TORRES ESPINOZA</t>
  </si>
  <si>
    <t>YAZMIN GUADALUPE MORENO DUARTE</t>
  </si>
  <si>
    <t>BERTHA DUARTE ACUÑA</t>
  </si>
  <si>
    <t>ANHELY DIANELA MORENO DUARTE</t>
  </si>
  <si>
    <t>IGNACIO MORENO ALVARADO</t>
  </si>
  <si>
    <t>JOSE MATIAS CORONEL TORRES</t>
  </si>
  <si>
    <t>ERASMO ELEAZAR CORONEL LEYVA</t>
  </si>
  <si>
    <t>FLOR YARED TORRES LEO</t>
  </si>
  <si>
    <t>JOSE ODILON CASTILLO FIGUEROA</t>
  </si>
  <si>
    <t>MARIA DE LOS ANGELES VALENZUELA VILLEGAS</t>
  </si>
  <si>
    <t>LUIS MARIO CORONEL TORRES</t>
  </si>
  <si>
    <t>GILBERTO OMAR CORREA FELIX</t>
  </si>
  <si>
    <t>MIRIAM MARIA GASTELUM LAM</t>
  </si>
  <si>
    <t>DARYAN ALEXANDER FERREIRA TEIXEIRA</t>
  </si>
  <si>
    <t>NUNO VALENTINO FERREIRA LEAL</t>
  </si>
  <si>
    <t>MATEO ALEXANDER FERREIRA LEAL</t>
  </si>
  <si>
    <t xml:space="preserve">FLOR CAMILA LEAL GOMEZ </t>
  </si>
  <si>
    <t>LUIS ANTONIO LEAL GOMEZ</t>
  </si>
  <si>
    <t>MARINES GARCIA LEAL</t>
  </si>
  <si>
    <t>CARLOS ADRIAN Y ANGELICA DE LOURDES</t>
  </si>
  <si>
    <t>JORGE RAMIREZ JIMENEZ</t>
  </si>
  <si>
    <t>LUISA FERNANDA RUIZ CAZARES</t>
  </si>
  <si>
    <t>MAYRA ARENAS MONGE</t>
  </si>
  <si>
    <t>GUADALUPE DE JESUS Y MERARI ABIGAIL</t>
  </si>
  <si>
    <t>RAUL SALVADOR MARTINEZ VILLA</t>
  </si>
  <si>
    <t>BEATRIZ ELENA SALAZAR ESPARZA</t>
  </si>
  <si>
    <t xml:space="preserve">JOAQUIN CRUZ GRIJALVA </t>
  </si>
  <si>
    <t>ALMA IRENE VALENZUELA JIMENEZ</t>
  </si>
  <si>
    <t>ANGEL JULIAN DUARTE MENDIVIL</t>
  </si>
  <si>
    <t>RAMON ANGEL DUARTE GRANILLO</t>
  </si>
  <si>
    <t>JULIA PILAR MENDIVIL MAZON</t>
  </si>
  <si>
    <t>JULIO ALBERTO DUARTE GRANILLO</t>
  </si>
  <si>
    <t xml:space="preserve">PAULETH GEORGINA MENDIVIL MAZON </t>
  </si>
  <si>
    <t>JULIAN ALEXANDER RASCON MONTOYA</t>
  </si>
  <si>
    <t>DAVID ERASMO RASCON GONZALEZ</t>
  </si>
  <si>
    <t>KARITZA ALEJANDRA MONTOYA ESQUER</t>
  </si>
  <si>
    <t xml:space="preserve">SERGIO CARLOS GIL DUARTE </t>
  </si>
  <si>
    <t>MARTHA PATRICIA LOPEZ RIVERA</t>
  </si>
  <si>
    <t>BAUTIZOS DEL 2026</t>
  </si>
  <si>
    <t>CERTIFICADO DE MATRIMONIO 2023</t>
  </si>
  <si>
    <t>CERTIFICADO DE MATRIMONIO 2024</t>
  </si>
  <si>
    <t>CERTIFICADO DE MATRIMONIO 2025</t>
  </si>
  <si>
    <t>CERTIFICADO DE MATRIMONIO 2026</t>
  </si>
  <si>
    <t>ISRAEL ISAAC FLORES CASTELLANO</t>
  </si>
  <si>
    <t>VICTORIA YURENIA MEDRANO MORENO</t>
  </si>
  <si>
    <t>ISAAC EMMANUEL FLORES MEDRANO</t>
  </si>
  <si>
    <t>ANA LLUVIA FLORES MEDRANO</t>
  </si>
  <si>
    <t>DANNA SOFIA JAIME AMPARANO</t>
  </si>
  <si>
    <t>BERNARDO ANTONIO JAIME CRUZ</t>
  </si>
  <si>
    <t>ISMAEL ACUÑA MARTINEZ</t>
  </si>
  <si>
    <t>ANGELES AMARA JAIME AMPARANO</t>
  </si>
  <si>
    <t>MATEO SANDOVAL GAJON</t>
  </si>
  <si>
    <t>ORLANDO SANDOVAL MAZON</t>
  </si>
  <si>
    <t>ELIZABETH GAJON LEDGARD</t>
  </si>
  <si>
    <t>DAVID ANTONIO GAJON LEDGARD</t>
  </si>
  <si>
    <t>EDUARDO BRISEÑO ZAMBRANO Y ANDREA LEDGARD LEON</t>
  </si>
  <si>
    <t>BRYAN ISRAEL SANDOVAL ARIPEZ</t>
  </si>
  <si>
    <t>MARIA CRISTINA ROMERO VALENCIA</t>
  </si>
  <si>
    <t>FERNANDA PATRICIA SANDOVAL ARIPEZ</t>
  </si>
  <si>
    <t>JOSUE EMMANUEL MORENO VALENCIA</t>
  </si>
  <si>
    <t>EYLIAN ISRAEL SANDOVAL ROMERO</t>
  </si>
  <si>
    <t>JESUS MANUEL Y DENISE SARAHI</t>
  </si>
  <si>
    <t>GERARDO VALENZUELA VARELA</t>
  </si>
  <si>
    <t>TERESITA OCTAVIANA JUSAINO MONGE</t>
  </si>
  <si>
    <t>JUAN PALAFOX LUNA</t>
  </si>
  <si>
    <t>BLANCA ALICIA IBARRA MENDOZA</t>
  </si>
  <si>
    <t>DIEGO ISRAEL ENRIQUEZ MORENO</t>
  </si>
  <si>
    <t>ISRAEL ENRIQUEZ ROMERO</t>
  </si>
  <si>
    <t>HECTOR DANIEL QUIRRIN FELIX</t>
  </si>
  <si>
    <t>HECTOR FRANCISCO QUIRRIN SILVESTRE</t>
  </si>
  <si>
    <t>ELIZABETH CRISTINA FELIX ORTIZ</t>
  </si>
  <si>
    <t>REYNA JULIETA FELIX ORTIZ Y MARISOL ESPERANZA FELIX ORTIZ</t>
  </si>
  <si>
    <t>CARLOS ALBERTO QUIRRIN SILVESTRE Y DIANA ALICIA QUIRRIN SILVESTRE</t>
  </si>
  <si>
    <t>NUESTRA SEÑORA DE LA PAZ - 2025</t>
  </si>
  <si>
    <t>NUESTRA SEÑORA DE LA PAZ - 11 DE JUNIO DEL 2025 - 7:00 PM</t>
  </si>
  <si>
    <t>JESUS EL SEÑOR - 23 DE MAYO DEL 2026 - 12:00 PM</t>
  </si>
  <si>
    <t>JESUS EL SEÑOR - 23 DE MAYO DEL 2026 - 10:00 AM</t>
  </si>
  <si>
    <t>CERTIFICADO DE PRIMERA COMUNION 2025</t>
  </si>
  <si>
    <t>ABRAHAM CRUZ GALINDO</t>
  </si>
  <si>
    <t xml:space="preserve">ABRAHAM CRUZ CAMACHO </t>
  </si>
  <si>
    <t>ANGELICA MARIA GALINDO OTHON</t>
  </si>
  <si>
    <t>ALICIA YANNETH ROMERO</t>
  </si>
  <si>
    <t>ALEXA OLEA MENDOZA</t>
  </si>
  <si>
    <t>MYRIAM GUADALUPE MENDOZA REYNOSO</t>
  </si>
  <si>
    <t>HECTOR JULIO OLEA JUVERA</t>
  </si>
  <si>
    <t>LUZ MERCEDES OLEA JUVERA</t>
  </si>
  <si>
    <t>ANA PAULA VALDEZ RIOS</t>
  </si>
  <si>
    <t xml:space="preserve">OSCAR FERNANDO VALDEZ MANZANO </t>
  </si>
  <si>
    <t>ANA DOLORES RIOS ROMERO</t>
  </si>
  <si>
    <t>AIDA RIOS ROMERO</t>
  </si>
  <si>
    <t xml:space="preserve">AZUL DEL VALLE GAMEZ </t>
  </si>
  <si>
    <t>CESAR AUGUSTO DEL VALLE COLOSIO</t>
  </si>
  <si>
    <t>MELINA GAMEZ ESQUER</t>
  </si>
  <si>
    <t xml:space="preserve">IVONNE GAMEZ ESQUER </t>
  </si>
  <si>
    <t>EMMA VICTORIA ISLAS ALCARAZ</t>
  </si>
  <si>
    <t>KAREN ALONDRA ISLAS ALCARAZ</t>
  </si>
  <si>
    <t xml:space="preserve">    --------------------------------------------------------------</t>
  </si>
  <si>
    <t xml:space="preserve">ANA LUISA ALCARAZ ALCANTAR </t>
  </si>
  <si>
    <t>IKER RENE MACIAS CASTELO</t>
  </si>
  <si>
    <t xml:space="preserve">FRANCISCO RENE MACIAS RENTERIA </t>
  </si>
  <si>
    <t>EDITH VERONICA CASTELO VALENCIA</t>
  </si>
  <si>
    <t xml:space="preserve">CARLOS TADEO CHAVEZ CASTELO </t>
  </si>
  <si>
    <t xml:space="preserve">JUAN SANTIAGO DUARTE RAMOS </t>
  </si>
  <si>
    <t>JUAN PEDRO DUARTE FUENTES</t>
  </si>
  <si>
    <t xml:space="preserve">AMADA JULIA RAMOS GORTAREZ </t>
  </si>
  <si>
    <t>NORMA IBETH DUARTE FUENTES</t>
  </si>
  <si>
    <t>JULIO CESAR URUETA FLORES</t>
  </si>
  <si>
    <t>KARLA NALLELY GAXIOLA GASTELUM</t>
  </si>
  <si>
    <t>JULIO EDUARDO URUETA GAXIOLA</t>
  </si>
  <si>
    <t>EDUARDO GAXIOLA GARCIA</t>
  </si>
  <si>
    <t>LIA VICTORIA RIVERA JIMENEZ</t>
  </si>
  <si>
    <t>MANUEL FERNANDO RIVERA RUIZ</t>
  </si>
  <si>
    <t>CLAUDIA GABRIELA JIMENEZ ELENO</t>
  </si>
  <si>
    <t>HAIDE BERENICE CALVILLO GARCIA</t>
  </si>
  <si>
    <t>OMAR ELEAZAR NUÑEZ CRUZ</t>
  </si>
  <si>
    <t>KARLA CECILIA NUÑEZ RENTERIA</t>
  </si>
  <si>
    <t>OSCAR VALDEZ RIOS</t>
  </si>
  <si>
    <t>MARIA DE LOS ANGELES RIOS ROMERO</t>
  </si>
  <si>
    <t>ALDO ARAIZA PEÑA</t>
  </si>
  <si>
    <t>ALBERTO ARAIZA CHAVARIN</t>
  </si>
  <si>
    <t>FERNANDO PEÑA ROMERO</t>
  </si>
  <si>
    <t>ANDRE ARAIZA PEÑA</t>
  </si>
  <si>
    <t>ANDREA MENDOZA GARCIA</t>
  </si>
  <si>
    <t>JOSE DIEGO MENDOZA ORTEGA</t>
  </si>
  <si>
    <t>DULCE MARIA CORONADO JIMENEZ</t>
  </si>
  <si>
    <t>CARLOS MAURICIO AGUAYO RODRIGUEZ</t>
  </si>
  <si>
    <t>AMADOR AGUAYO DUARTE</t>
  </si>
  <si>
    <t>ALEJANDRA RODRIGUEZ CORDOVA</t>
  </si>
  <si>
    <t xml:space="preserve">BETELGEUSEN ESCARCEGA BUSTAMANTE </t>
  </si>
  <si>
    <t>CONSTANZA VINDIOLA LUNA</t>
  </si>
  <si>
    <t>FRANCISCO JAVIER VINDIOLA ROMO</t>
  </si>
  <si>
    <t xml:space="preserve">OLGA LIDIA LUNA GONZALEZ </t>
  </si>
  <si>
    <t>KARLA ANAHI PORTILLO GUZMAN</t>
  </si>
  <si>
    <t>ELOISE CALDERON FRANCO</t>
  </si>
  <si>
    <t xml:space="preserve">EDSON JESUS CALDERON CONTRERAS </t>
  </si>
  <si>
    <t>ADRIANA FRANCO GARCIA</t>
  </si>
  <si>
    <t xml:space="preserve">MARTIN FERNANDO RODRIGUEZ ENCINAS </t>
  </si>
  <si>
    <t>MARTIN FRANCISCO RODRIGUEZ SILVA</t>
  </si>
  <si>
    <t>ALEJANDRA ENCINAS FIMBRES</t>
  </si>
  <si>
    <t>RICARDO ALBERTOLOBO RODRIGUEZ</t>
  </si>
  <si>
    <t>MARLENNE RODRIGUEZ SILVA</t>
  </si>
  <si>
    <t xml:space="preserve">JOSE JULIAN ROBLES MERAZ </t>
  </si>
  <si>
    <t xml:space="preserve">LUIS MARIO IBARRA DE LA ROSA </t>
  </si>
  <si>
    <t>SANTIAGO RIVERA TREJO</t>
  </si>
  <si>
    <t>GILBERTO ORRANTIA DANIEL</t>
  </si>
  <si>
    <t>SERGIO RAFAEL VILLA DUARTE</t>
  </si>
  <si>
    <t>JULIO RAFAEL VILLA ARIAS</t>
  </si>
  <si>
    <t>LLUVIA GUADALUPE DURTE GRANILLO</t>
  </si>
  <si>
    <t>ALMA TRINIDAD GRANILLO SANTACRUZ</t>
  </si>
  <si>
    <t>ZOE LIZETH CABALLERO RODRIGUEZ</t>
  </si>
  <si>
    <t>JOSE LUIS CABALLERO LOZOYA</t>
  </si>
  <si>
    <t>HADA LIZETH RODRIGUEZ CANIZALES</t>
  </si>
  <si>
    <t>TANYA CRISTINA RODRIGUEZ RAMIREZ</t>
  </si>
  <si>
    <t>ALFREDO NUÑEZ RENTERIA</t>
  </si>
  <si>
    <t>CAROLINA DEL MAR PEÑA VALDES</t>
  </si>
  <si>
    <t>MARIA MERELI GARCIA FLORES</t>
  </si>
  <si>
    <t>EDNA  GABRIELA IBARRA SARRACINO</t>
  </si>
  <si>
    <t xml:space="preserve">TOMAS ROBERTO IBARRA GALAVIZ </t>
  </si>
  <si>
    <t>ALANA  MILAGROS SALCIDO VILLA</t>
  </si>
  <si>
    <t>YOLANDA ALEJANDRA VILLA VILLA</t>
  </si>
  <si>
    <t>ALISSA YAÑEZ OCHOA</t>
  </si>
  <si>
    <t>JESUS MANUEL YAÑEZ CANIZALES</t>
  </si>
  <si>
    <t>YISSIA OCHOA PABLOS</t>
  </si>
  <si>
    <t>LUCELLY OCHOA PABLOS</t>
  </si>
  <si>
    <t>AURORA ENCINAS ESCALANTE</t>
  </si>
  <si>
    <t>JESUS VIVIAN ENCINAS BAEZ</t>
  </si>
  <si>
    <t>MARIA TERESITA ESCALANTE ALMADA</t>
  </si>
  <si>
    <t>ISELA MARIA BERNAL ESCALANTE</t>
  </si>
  <si>
    <t>CHRISTIAN NICOLAS RUBAL LOPEZ</t>
  </si>
  <si>
    <t>ANA GABRIEL CABRERA TORRES</t>
  </si>
  <si>
    <t xml:space="preserve">CRUZ FERNANDA SALCIDO SOMBRA </t>
  </si>
  <si>
    <t>DANIEL ISAAC MORALES CASTAÑEDA</t>
  </si>
  <si>
    <t>SERGIO DANIEL MORALES CHAVEZ</t>
  </si>
  <si>
    <t>FELIX FERNANDO SALCIDO ESCOBAR</t>
  </si>
  <si>
    <t>JESUS FRANCISCO SOMBRA DOMINGUEZ</t>
  </si>
  <si>
    <t>MELISSA CASTAÑEDA RIVERA</t>
  </si>
  <si>
    <t>DANIEL OMAR PIRI ROMERO</t>
  </si>
  <si>
    <t>OSCAR DANIEL PIRI HUERTA</t>
  </si>
  <si>
    <t>SINDY LIZBETH ROMERO SANCHEZ</t>
  </si>
  <si>
    <t>FRANCISCO JOSE RODOLFO BARRAZA ROMERO</t>
  </si>
  <si>
    <t>DAVID SANTIAGO RUIZ MUNGUIA</t>
  </si>
  <si>
    <t>OMAR DAVID RUIZ PRECIADO</t>
  </si>
  <si>
    <t>KAREM ANGELICA MUNGUIA GARCIA</t>
  </si>
  <si>
    <t>ALONDRA SALAS IBARRA</t>
  </si>
  <si>
    <t>DIEGO AMARO MORENO</t>
  </si>
  <si>
    <t>JUAN JESUS AMARO DELUCIO</t>
  </si>
  <si>
    <t>LORENIA DOLORES MORENO ORDUÑO</t>
  </si>
  <si>
    <t>ROCIO GUADALUPE MONTAÑO LOMELI</t>
  </si>
  <si>
    <t>IVANNA SOFIA ESCOBAR MONGE</t>
  </si>
  <si>
    <t>ROSALIA ELIZABETH ROBLES MARTINEZ</t>
  </si>
  <si>
    <t>JONATHAN ALEXIS ACOSTA HERRERA</t>
  </si>
  <si>
    <t>JOSE LUIS ACOSTA GAYTAN</t>
  </si>
  <si>
    <t>JOSEFINA BELEN HERRERA ORTIZ</t>
  </si>
  <si>
    <t>JESUS EDITH CARBALLO HERRERA</t>
  </si>
  <si>
    <t>MIGUEL ANGEL GRACIA MALDONADO</t>
  </si>
  <si>
    <t>JUDAS GABRIEL GRACIA GUTIERREZ</t>
  </si>
  <si>
    <t>LOURDES ROCIO GUTIERREZ BOURJAC</t>
  </si>
  <si>
    <t>JUDAS JOSE JESUS GUTIERREZ BOURJAC</t>
  </si>
  <si>
    <t>KARIM EDUARDO IBARRA RUIZ</t>
  </si>
  <si>
    <t>EDUARDO IBARRA CORDOVA</t>
  </si>
  <si>
    <t>BRISEIDA RUIZ HERNANDEZ</t>
  </si>
  <si>
    <t>ARTURO RUIZ HERNANDEZ</t>
  </si>
  <si>
    <t>KEYLA MARIE PACHERRES VALENCIA</t>
  </si>
  <si>
    <t>JOHNNY HENRY PACHERRES CORDOVA</t>
  </si>
  <si>
    <t xml:space="preserve">ELIA EDITH VALENCIA DUARTE </t>
  </si>
  <si>
    <t>JESUS YURIDIA ZATARAIN HERRERA</t>
  </si>
  <si>
    <t>LUIS ARMANDO IBARRA JUAREZ</t>
  </si>
  <si>
    <t>FELIPE DE JESUS IBARRA BALBASTRO</t>
  </si>
  <si>
    <t>JOSE GUADALUPE JUAREZ QUINTERO</t>
  </si>
  <si>
    <t>MIRANDA SAYURI ARCE LOPEZ</t>
  </si>
  <si>
    <t>JORGE ROGELIO ARCE DE LA ROSA</t>
  </si>
  <si>
    <t>SAYURI GABRIELA LOPEZ DURAN</t>
  </si>
  <si>
    <t>PABLO SEBASTIAN MUÑOZ BRACAMONTE</t>
  </si>
  <si>
    <t>JUAN PABLO MUÑOZ CADENA</t>
  </si>
  <si>
    <t>ILSE YANETH BRACAMONTE GALVEZ</t>
  </si>
  <si>
    <t>VICTOR MANUEL BRACAMONTE GONZALEZ</t>
  </si>
  <si>
    <t>PAULINA VALDEZ CAREAGA</t>
  </si>
  <si>
    <t>OSWALDO VALDEZ CARRILLO</t>
  </si>
  <si>
    <t>GILDA JUDITH CAREAGA MONTOYA</t>
  </si>
  <si>
    <t>YURIRIA BERENICE ESQUER MORALES</t>
  </si>
  <si>
    <t>SAMIRA ROMERO ENCINAS</t>
  </si>
  <si>
    <t>JOSE CARLOS ROMERO GALAZ</t>
  </si>
  <si>
    <t>MARIA ISABEL ENCINAS VELARDE</t>
  </si>
  <si>
    <t>MARIA JOSE BALLESTEROS AMAYA</t>
  </si>
  <si>
    <t>STELLA SALAZAR AMARILLAS</t>
  </si>
  <si>
    <t>MARIA DEL ROSARIO VALENZUELA ROBLES</t>
  </si>
  <si>
    <t>NUESTRA SEÑORA DE LA PAZ - 30 DE MAYO DEL 2026- 1:00 PM</t>
  </si>
  <si>
    <t>CONSTANZA GARCIA CASTILLO</t>
  </si>
  <si>
    <t>NUESTRA SEÑORA DE LA PAZ - 29 DE MAYO DEL 2026- 5:00 PM</t>
  </si>
  <si>
    <t>EDEN GADIEL GARCIA RIOS</t>
  </si>
  <si>
    <t>DORA PATRICIA CASTILLO CORRAL</t>
  </si>
  <si>
    <t>EUGENIA LUISA RIOS RAMIREZ</t>
  </si>
  <si>
    <t>CRISTIAN ALBERTO LIMON CASAS</t>
  </si>
  <si>
    <t xml:space="preserve">CRISTIAN EMMANUEL LIMON AGUIRRE </t>
  </si>
  <si>
    <t>MARTHA MARIA CASAS ANDRADE</t>
  </si>
  <si>
    <t>DANIEL SAAVEDRA MORENO</t>
  </si>
  <si>
    <t xml:space="preserve">BALTAZAR SAVEEDRA VALENCIA </t>
  </si>
  <si>
    <t>GLORIA BERENICE MORENO LOPEZ</t>
  </si>
  <si>
    <t>KARLA MARIA NORIEGA MORENO</t>
  </si>
  <si>
    <t>DOMINIC PATRON PARRA</t>
  </si>
  <si>
    <t>GRECIA PARRA DANIEL</t>
  </si>
  <si>
    <t>ROBERTO ANTONIO FRANCO RUIZ</t>
  </si>
  <si>
    <t>DULCE MARIA GASTELUM CERVANTES</t>
  </si>
  <si>
    <t>JORGE ALBERTO GASTELUM ROCHIN</t>
  </si>
  <si>
    <t xml:space="preserve">ELSA ALEJANDRA TEJEDA GASTELUM </t>
  </si>
  <si>
    <t>ELISA CORDOVA ESPINOZA</t>
  </si>
  <si>
    <t>EMILIANO MOLINA ALVAREZ</t>
  </si>
  <si>
    <t>VICENTE ARMANDO MOLINA ZEPEDA</t>
  </si>
  <si>
    <t>CELENE ITZEL ALVAREZ BOVEY</t>
  </si>
  <si>
    <t>EILEEN YOANA ALEGRIA ELIZALDE</t>
  </si>
  <si>
    <t>FELIX ALEXIS ECHEGARAY ORTIZ</t>
  </si>
  <si>
    <t>FELIX JOSE ECHEGARAY VALENZUELA</t>
  </si>
  <si>
    <t>MARIA ESTHELA ORTIZ MENDOZA</t>
  </si>
  <si>
    <t>EMMANUEL FERNANDO LOPEZ BOBADILLA</t>
  </si>
  <si>
    <t>GABRIEL ENRIQUE LOPEZ OLMOS</t>
  </si>
  <si>
    <t>JOSE ALBERTO RAMOS FARJAT</t>
  </si>
  <si>
    <t>GUILLERMO RIVERA QUIJADA</t>
  </si>
  <si>
    <t>ARNULFO GUILLERMO RIVERA CORDOVA</t>
  </si>
  <si>
    <t>JESUS ALEJANDRA QUIJADA ARVAYO</t>
  </si>
  <si>
    <t>CONCEPCION QUIJADA FIGUEROA</t>
  </si>
  <si>
    <t>JOHANN  JAVIER PITTER RIVERA</t>
  </si>
  <si>
    <t>JESUS JAVIER PITTER GONZALEZ</t>
  </si>
  <si>
    <t>KARLA LIZETH RIVERA ROMERO</t>
  </si>
  <si>
    <t>MYRNA YUDITH RIVERA ROMERO</t>
  </si>
  <si>
    <t>JUAN BAUTISTA RAMIREZ DOMINGUEZ</t>
  </si>
  <si>
    <t>JESUS RAMIREZ GONZALEZ</t>
  </si>
  <si>
    <t>FRANCISCA DOMINGUEZ CASTRO</t>
  </si>
  <si>
    <t>LEONORILDA DOMINGUEZ CASTRO</t>
  </si>
  <si>
    <t>MARIA JOSE DEL CID PALACIOS</t>
  </si>
  <si>
    <t>HECTOR DANIEL DEL CID VALENZUELA</t>
  </si>
  <si>
    <t>ZITLALY ARISBETH PALACIOS ENRIQUEZ</t>
  </si>
  <si>
    <t>KAREN ALONDRA SALDAMANDO SANCHEZ</t>
  </si>
  <si>
    <t>MIA RENATA MALDONADO AGUIRRE</t>
  </si>
  <si>
    <t>ADRIANA MINET  AGUIRRE</t>
  </si>
  <si>
    <t>MANUELA CANIZALES AGUIRRE</t>
  </si>
  <si>
    <t>MIA ROMINA GONZALEZ ROMERO</t>
  </si>
  <si>
    <t>CESAR GONZALEZ ORDOÑEZ</t>
  </si>
  <si>
    <t>MARIA DEL CARMEN ORDOÑEZ GUTIERREZ</t>
  </si>
  <si>
    <t>NICOLE XIMENA OCHOA TRASVIÑA</t>
  </si>
  <si>
    <t>JOHNATTAN DAVID OCHOA VERDUGO</t>
  </si>
  <si>
    <t>CAROLINA ISABEL TRASVIÑA APODACA</t>
  </si>
  <si>
    <t>JACQUELINNE OCHOA VERDUGO</t>
  </si>
  <si>
    <t>NICOLAS MOLINA ALVAREZ</t>
  </si>
  <si>
    <t>JORGE GUADALUPE RIOJAS FELIX</t>
  </si>
  <si>
    <t>PAOLA HERNANDEZ GONZALEZ</t>
  </si>
  <si>
    <t>MARIA MAGDALENA HERNANDEZ SERRANO</t>
  </si>
  <si>
    <t>RENATA ROMERO VALENZUELA</t>
  </si>
  <si>
    <t>ADRIAN RENE ROMERO RUELAS</t>
  </si>
  <si>
    <t xml:space="preserve">ROCIO CAROLINA CASTRO TARAZON </t>
  </si>
  <si>
    <t>VICTORIA TRILLAS PALACIOS</t>
  </si>
  <si>
    <t xml:space="preserve">BRENDA MARIA PALACIOS CARPIO </t>
  </si>
  <si>
    <t>NUESTRA SEÑORA DE LA PAZ - 29 DE MAYO DEL 2026- 7:00 PM</t>
  </si>
  <si>
    <t>ALAN EDUARDO VALENZUELA MUNGUIA</t>
  </si>
  <si>
    <t>JESUS LEOBARDO VALENZUELA VAZQUEZ</t>
  </si>
  <si>
    <t>CYNTHIA NOHEMY MUNGUIA  VALENCIA</t>
  </si>
  <si>
    <t>FERNANDO VALENCIA JAIME</t>
  </si>
  <si>
    <t>ALEXA CAMILA CORDOVA ROMERO</t>
  </si>
  <si>
    <t>CESAR RICARDO CORDOVA MIRANDA</t>
  </si>
  <si>
    <t>CYNTHIA JUDITH ROMERO BUJANDA</t>
  </si>
  <si>
    <t>CLARA ELISA BUJANDA GOMEZ</t>
  </si>
  <si>
    <t>ALFONSO ABRAHAM GALAVIZ VELDERRAIN</t>
  </si>
  <si>
    <t>ABRAHAM GALAVIZ MANZO</t>
  </si>
  <si>
    <t>MARCIA CECILIA VELDERRAIN RIVERA</t>
  </si>
  <si>
    <t>ELVIA LORENIA GALAVIZ MANZO</t>
  </si>
  <si>
    <t>ALI SOFIA MAZON BOJORQUEZ</t>
  </si>
  <si>
    <t>MYRNA MIREYA GALINDO VILLA</t>
  </si>
  <si>
    <t>ANGEL ALEJANDRO ZAZUETA VALENZUELA</t>
  </si>
  <si>
    <t>PEDRO ZAZUETA MANZO</t>
  </si>
  <si>
    <t>MARTHA VALENZUELA CAMPA</t>
  </si>
  <si>
    <t>FRANCISCO MALDONADO GARCIA</t>
  </si>
  <si>
    <t>CHRISTIAN NAEL GARCIA NAVARRO</t>
  </si>
  <si>
    <t>CHRISTIAN IVAN GARCIA MORENO</t>
  </si>
  <si>
    <t>DANIELA MARIAN NAVARRO IBARRA</t>
  </si>
  <si>
    <t>DENIAH MARIEL NAVARRO IBARRA</t>
  </si>
  <si>
    <t>IKER GAEL MENDOZA VINDIOLA</t>
  </si>
  <si>
    <t>MANUEL GUILLERMO MENDOZA MEDINA</t>
  </si>
  <si>
    <t>MARLETH BRIZEIDA VINDIOLA SANCHEZ</t>
  </si>
  <si>
    <t>RAMON ALBERTO MEDINA REZA</t>
  </si>
  <si>
    <t>ISMAEL SANTIAGO ACUÑA ZAMARRON</t>
  </si>
  <si>
    <t>JESUS ABRAHAM ACUÑA ZAMARRON</t>
  </si>
  <si>
    <t>IVANNA SOFIA CHAPARRO MORENO</t>
  </si>
  <si>
    <t>IVAN ISMAEL CHAPARRO LOPEZ</t>
  </si>
  <si>
    <t>KAREN GUADALUPE MORENO MARTINEZ</t>
  </si>
  <si>
    <t>EVANGELINA MORENO RUIZ</t>
  </si>
  <si>
    <t>LUIS ZAID VILLA ROMERO</t>
  </si>
  <si>
    <t>JOSE FRANCISCO VILLA GARCIA</t>
  </si>
  <si>
    <t>LYDIA ROMERO MENDEZ</t>
  </si>
  <si>
    <t>CECILIA GUADALUPE HURTADO GONZALEZ</t>
  </si>
  <si>
    <t>MARGARETH FLORES GUERRERO</t>
  </si>
  <si>
    <t>MARIO LUIS FLORES PEREZ</t>
  </si>
  <si>
    <t>DANIA MARGARITA GUERRERO FIGUEROA</t>
  </si>
  <si>
    <t>MARIA FERNANDA CORONA ALDAY</t>
  </si>
  <si>
    <t>MARIA REGINA SERNA TORRES</t>
  </si>
  <si>
    <t>JOSE SERNA VERDUGO</t>
  </si>
  <si>
    <t>CLAUDIA KARINA VALENZUELA BARRERA</t>
  </si>
  <si>
    <t>MARIA VALENTINA ESQUER MARQUEZ</t>
  </si>
  <si>
    <t>MANUEL FRANCISCO ESQUER ACOSTA</t>
  </si>
  <si>
    <t>HERMINIA ABIGAIL MARQUEZ ESPARZA</t>
  </si>
  <si>
    <t>EVANGELINA BALDENEGRO FRIAS</t>
  </si>
  <si>
    <t>NATALIA MARTINEZ MOLINA</t>
  </si>
  <si>
    <t>ISAC MARTINEZ SAMANIEGO</t>
  </si>
  <si>
    <t>GRISELDA MOLINA REYES</t>
  </si>
  <si>
    <t>MARGARITA VAZQUEZ LOPEZ</t>
  </si>
  <si>
    <t>RENATA CAZARES BURRUEL</t>
  </si>
  <si>
    <t>JOSE ALONSO CAZARES RIVERA</t>
  </si>
  <si>
    <t>ERIKA RUTH BURRUEL AHUMADA</t>
  </si>
  <si>
    <t>JOANA ISABEL BURRUEL AHUMADA</t>
  </si>
  <si>
    <t>RENE ALONSO RODRIGUEZ DUARTE</t>
  </si>
  <si>
    <t>JOSE ALONSO RODRIGUEZ FIMBRES</t>
  </si>
  <si>
    <t>RENEE PAMELA DUARTE NUBES</t>
  </si>
  <si>
    <t>JESUS GABRIELA NUBES MOLINA</t>
  </si>
  <si>
    <t>RENE SANTIAGO TAPIA NAVARRO</t>
  </si>
  <si>
    <t>FRANCISCO ALAN TAPIA MEDINA</t>
  </si>
  <si>
    <t>DANIAH MARISSA NAVARRO IBARRA</t>
  </si>
  <si>
    <t>MIRIAM GUADALUPE GAMEZ CORDOVA</t>
  </si>
  <si>
    <t>SERGIO GILBERTO OLIVAS BARRON</t>
  </si>
  <si>
    <t>GILBERTO LORENZO OLIVAS TAMAYO</t>
  </si>
  <si>
    <t>NATALIA ELENA BARRON GOMEZ</t>
  </si>
  <si>
    <t>SERGIO BARRON WILSON</t>
  </si>
  <si>
    <t>VALERIA GUADALUPE ONTIVEROS GUERRA</t>
  </si>
  <si>
    <t>RIGOBERTO ONTIVEROS VALENCIA</t>
  </si>
  <si>
    <t>MARIA FERNANDA GUERRA SERRANO</t>
  </si>
  <si>
    <t>JESUS FRANCISCO RIESGO NAVARRO</t>
  </si>
  <si>
    <t>ERICK EDUARDO PARAMO MORALES</t>
  </si>
  <si>
    <t>NOGALES, SONORA</t>
  </si>
  <si>
    <t>HERIBERTO PARAMO RODRIGUEZ</t>
  </si>
  <si>
    <t>KAREN JACQUELINE MORALES SESTEAGA</t>
  </si>
  <si>
    <t>PBRO. GERMAN FRANCISCO VALDEZ PEREYDA</t>
  </si>
  <si>
    <t xml:space="preserve">GERARDO CAMACHO PONCE </t>
  </si>
  <si>
    <t>GERARDO ARMANDO MORALES SESTEAGA</t>
  </si>
  <si>
    <t>STEPHANY CAROLINA MORALES SESTEAGA</t>
  </si>
  <si>
    <t>NUESTRA SEÑORA DE LA PAZ - 30 DE MAYO DEL 2026- 11:00 PM</t>
  </si>
  <si>
    <t>ALLYSON LEXANIE SANCHEZ LEDGARD</t>
  </si>
  <si>
    <t>GUSTAVO SANCHEZ GONZALEZ</t>
  </si>
  <si>
    <t>CHRISTIAN JESUS ARVAYO MARTINEZ</t>
  </si>
  <si>
    <t>CHRISTIAN SAUL ARVAYO TANORI</t>
  </si>
  <si>
    <t xml:space="preserve">NAZARETH DE GUADALUPE MARTINEZ ARMENTA </t>
  </si>
  <si>
    <t xml:space="preserve">FRANCISCA DE IDALIA MARTINEZ ARMENTA </t>
  </si>
  <si>
    <t>GENESIS IRLANDA URIAS CRUZ</t>
  </si>
  <si>
    <t>ROMA IVAN URIAS URIAS</t>
  </si>
  <si>
    <t>HECTOR MANUEL ZAZUETA NAPOLES</t>
  </si>
  <si>
    <t>ROMEO MANUEL ZAZUETA DOMINGUEZ</t>
  </si>
  <si>
    <t>GISSEH THALIA NAPOLES ARISPURO</t>
  </si>
  <si>
    <t>MARIA JULIETA ZAZUETA DOMINGUEZ</t>
  </si>
  <si>
    <t>IAN MEDARDO VALENCIA LOMELI</t>
  </si>
  <si>
    <t>FRANCISCO MEDARDO VALENCIA DEL CASTILLO</t>
  </si>
  <si>
    <t>SHARO GENISIS LOMELI CHAVEZ</t>
  </si>
  <si>
    <t>LESLIE ANDREA VALENCIA DEL CASTILLO</t>
  </si>
  <si>
    <t xml:space="preserve">IKER TADEO RASCON CARVAJAL </t>
  </si>
  <si>
    <t>ANA ISABEL CARVAJAL ACUÑA</t>
  </si>
  <si>
    <t>MANUEL CARVAJAL ACUÑA</t>
  </si>
  <si>
    <t>JULIO ALEJANDRO MARQUEZ VINDIOLA</t>
  </si>
  <si>
    <t>SERGIO ALEJANDRO MARQUEZ CORONADO</t>
  </si>
  <si>
    <t>ROCIO ELIZABETH VINDIOLA VINDIOLA</t>
  </si>
  <si>
    <t>JULIO CESAR PEÑA ALVAREZ</t>
  </si>
  <si>
    <t>KEVIN ENRIQUE BASACA ACUÑA</t>
  </si>
  <si>
    <t>MARIA JIMENA PERALTA ROMERO</t>
  </si>
  <si>
    <t>JOSE EMMANUEL PERALTA VASQUEZ</t>
  </si>
  <si>
    <t>GARDENIA CONSUELO ROMERO VALENCIA</t>
  </si>
  <si>
    <t>DENIA DEL CARMEN COTA RUIZ</t>
  </si>
  <si>
    <t>MARIA PAULA CARDENAS ZAMORANO</t>
  </si>
  <si>
    <t>JOSE ANGEL CARDENAS CHAVEZ</t>
  </si>
  <si>
    <t>BLANCA PATRICIA ZAMORANO GONZALEZ</t>
  </si>
  <si>
    <t>JUDITH VIVIANA IGLESIAS URBALEJO</t>
  </si>
  <si>
    <t>MARIA RENEE CASTILLO FERNANDEZ</t>
  </si>
  <si>
    <t>JORGE ARMANDO CASTILLO CAMPOY</t>
  </si>
  <si>
    <t>ROXANA FERNANDEZ LENDO</t>
  </si>
  <si>
    <t>ILIANA LIZETH CASTILLO CAMPOY</t>
  </si>
  <si>
    <t>ORLANDO ARMENTA DUARTE</t>
  </si>
  <si>
    <t>ORLANDO ARMENTA SAÑUDO</t>
  </si>
  <si>
    <t>YUDIT DUARTE VILLA</t>
  </si>
  <si>
    <t>RAFAELA ARMENTA SAÑUDO</t>
  </si>
  <si>
    <t>PABLO SEBASTIAN ARIAS LOPEZ</t>
  </si>
  <si>
    <t>GONZALO ALBERTO ARIAS CORRALES</t>
  </si>
  <si>
    <t>MARCIA IVONNE LOPEZ CARRANZA</t>
  </si>
  <si>
    <t>JOSE YASSER LOPEZ CARRANZA</t>
  </si>
  <si>
    <t>ROMEO ALEJANDRO CASTRO DURAN</t>
  </si>
  <si>
    <t>ROMEO CASTRO VALENCIA</t>
  </si>
  <si>
    <t>PATRICIA EDITH DURAN ISLAS</t>
  </si>
  <si>
    <t xml:space="preserve">JUAN PABLO DURAN ISLAS </t>
  </si>
  <si>
    <t>SANTIAGO MARQUEZ VINDIOLA</t>
  </si>
  <si>
    <t xml:space="preserve">CECILIA GUADALUPE CERVANTES CONTRERAS </t>
  </si>
  <si>
    <t>ARMIDA CORONADO MARTINEZ</t>
  </si>
  <si>
    <t>SOFIA CASTELLANOS MARTINEZ</t>
  </si>
  <si>
    <t>JOSE IVAN CASTELLANOS UZETA</t>
  </si>
  <si>
    <t>MONICA VANESSA MARTINEZ GACHUSO</t>
  </si>
  <si>
    <t>MA. JOSEFINA GACHUSO SERVIN</t>
  </si>
  <si>
    <t>SAN PIO DE PIETRELCINA - 23 - DE MAYO DEL 2026</t>
  </si>
  <si>
    <t>ADAN ALBERTO RODRIGUEZ QUIROZ</t>
  </si>
  <si>
    <t>MARIA ALEJANDRA QUIROZ VALENZUELA</t>
  </si>
  <si>
    <t>ESTEBAN ALBERTO RODRIGUEZ LAGUNA</t>
  </si>
  <si>
    <t>VERONICA SARAI QUIROZ VALENZUELA</t>
  </si>
  <si>
    <t>ALFONSO MARIO BELTRAN MOROYOQUI</t>
  </si>
  <si>
    <t>ALFONSO MARIO BELTRAN LOPEZ</t>
  </si>
  <si>
    <t>INDEBELINA LOPEZ LOPEZ</t>
  </si>
  <si>
    <t xml:space="preserve">FRANCISCO HERNAN VILLARREAL BELTRAN </t>
  </si>
  <si>
    <t>ALONSO EMILIANO POZO SALAS</t>
  </si>
  <si>
    <t xml:space="preserve">  ---------------------------------------------------------------------</t>
  </si>
  <si>
    <t>CRISTEL DEL CARMEN POZO SALAS</t>
  </si>
  <si>
    <t>ANDREA YANITZA PALACIOS RIVERA</t>
  </si>
  <si>
    <t>ABRAHAM DE JESUS PALACIOS YAÑEZ</t>
  </si>
  <si>
    <t>LIZETH ELENA RIVERA ALDAY</t>
  </si>
  <si>
    <t>MARIA ALEJANDRINA RIVERA ALDAY</t>
  </si>
  <si>
    <t>ANGEL LEONARDO MENDOZA SILVA</t>
  </si>
  <si>
    <t>LUIS GUILLERMO MENDOZA OSORIO</t>
  </si>
  <si>
    <t>ALEJANDRA GUADALUPE SILVA CASTILLO</t>
  </si>
  <si>
    <t xml:space="preserve">BERENICE COHEN REYES </t>
  </si>
  <si>
    <t>ANGEL MATTEO MORALES PADILLA</t>
  </si>
  <si>
    <t xml:space="preserve"> ----------------------------------------------------------------------</t>
  </si>
  <si>
    <t>DENNYA IFTCHELLE MORALES PADILLA</t>
  </si>
  <si>
    <t>EMELY GUADALUPE FIGUEROA SANTACRUZ</t>
  </si>
  <si>
    <t>ANGEL YAEL LAGARDA GARCIA</t>
  </si>
  <si>
    <t>ALEJANDRO LAGARDA PARADA</t>
  </si>
  <si>
    <t>ALEXA SOFIA GARCIA PEREZ</t>
  </si>
  <si>
    <t>AZUCENA NAVARRO PEREZ</t>
  </si>
  <si>
    <t>COLETTE NAHOMI ROA SALAZAR</t>
  </si>
  <si>
    <t>CALEB FROYLAN ROA LINARES</t>
  </si>
  <si>
    <t>ROSA MARIA SALAZAR ROMERO</t>
  </si>
  <si>
    <t>DEYZ MARLENE SALAZAR ROMERO</t>
  </si>
  <si>
    <t>CRISTIAN AXEL AGUILUZ MUÑOZ</t>
  </si>
  <si>
    <t>JOSE ENRIQUE AGUILUZ BRAY</t>
  </si>
  <si>
    <t>JAZMIN ARACELI MUÑOZ DUARTE</t>
  </si>
  <si>
    <t>LORENA PATRICIA GARCIA SANDOVAL</t>
  </si>
  <si>
    <t>CRISTIAN AIDAN MONTAÑO LOPEZ</t>
  </si>
  <si>
    <t>MANUEL DE JESUS MONTAÑO JACOBO</t>
  </si>
  <si>
    <t>GUADALUPE AZUCENA LOPEZ FLORES</t>
  </si>
  <si>
    <t>MARCO ANTONIO BARRON AMADOR</t>
  </si>
  <si>
    <t>DAIRA GUADALUPE SANCHEZ VALENZUELA</t>
  </si>
  <si>
    <t>SOCORRO BERENICE SANCHEZ VALENZUELA</t>
  </si>
  <si>
    <t>YESENIA BERENICE VILLEGAS MUÑOZ</t>
  </si>
  <si>
    <t>DEREK EDUARDO MIRANDA LOPEZ</t>
  </si>
  <si>
    <t xml:space="preserve">KARLA PAOLA MIRANDA LABORIN </t>
  </si>
  <si>
    <t>DIANA MARIA ORTEGA MOLINA</t>
  </si>
  <si>
    <t>GUADALUPE ABRAHAM ORTEGA SANTACRUZ</t>
  </si>
  <si>
    <t>KARINA ALEJANDRA MOLINA IBARRA</t>
  </si>
  <si>
    <t>ANA GABRIELA MOLINA IBARRA</t>
  </si>
  <si>
    <t>EIDHAN JHOAN CELAYA ESTRELLA</t>
  </si>
  <si>
    <t>ERICK ALEJANDRO MENDOZA SILVA</t>
  </si>
  <si>
    <t>HECTOR JULIAN SILVA CASTILLO</t>
  </si>
  <si>
    <t>IAN GABRIEL PORTILLO NEVAREZ</t>
  </si>
  <si>
    <t>GABRIEL ARMANDO PORTILLO MOLINA</t>
  </si>
  <si>
    <t xml:space="preserve">SHEILA SARAHI NEVAREZ AGUAYO </t>
  </si>
  <si>
    <t>ANNAHY ARRIOLA ZAGASTA</t>
  </si>
  <si>
    <t>ISSA GISELLE SANCHEZ VALENZUELA</t>
  </si>
  <si>
    <t xml:space="preserve"> ---------------------------------------------------------------------</t>
  </si>
  <si>
    <t>ALEJANDRA EUNICE GARCIA FIGUEROA</t>
  </si>
  <si>
    <t>JESUS IVAN MUNGARAY RIVERA</t>
  </si>
  <si>
    <t xml:space="preserve">JUAN OSVALDO MUNGARAY PADILLA </t>
  </si>
  <si>
    <t>NORMA GUADALUPE RIVERA PALACIOS</t>
  </si>
  <si>
    <t>JOSE CARLOS GARCIA LOPEZ</t>
  </si>
  <si>
    <t>FRANCISCO JOSE GARCIA ARVAYO</t>
  </si>
  <si>
    <t>KAREN GUADALUPE LOPEZ GRACIA</t>
  </si>
  <si>
    <t>JOSE MARIA GARCIA ENCINAS</t>
  </si>
  <si>
    <t>JUAN CARLOS BUZO VALENZUELA</t>
  </si>
  <si>
    <t>JUAN JOSE BUZO VALLE</t>
  </si>
  <si>
    <t>YESENIA BERENICE VALENZUELA RUIZ</t>
  </si>
  <si>
    <t>ALMA ANGELINA RUIZ GRIJALVA</t>
  </si>
  <si>
    <t>KIMBERLY MILAGROS CONTRERAS DIAZ</t>
  </si>
  <si>
    <t>CLAUDIA JANETH GRANILLO GOMEZ</t>
  </si>
  <si>
    <t>KEVIN MANUEL GARCIA MUÑOZ</t>
  </si>
  <si>
    <t>MANUEL ANTONIO GARCIA SANDOVAL</t>
  </si>
  <si>
    <t>LEONEL OSVALDO MUNGARAY RIVERA</t>
  </si>
  <si>
    <t>LIA ISABELLA ZUÑIGA PEREZ</t>
  </si>
  <si>
    <t>JOSE LUIS ZUÑIGA MORALES</t>
  </si>
  <si>
    <t>FRANCISCA RUBY DOJAQUE PEREZ</t>
  </si>
  <si>
    <t>LIA VICTORIA SILVEIRA SALCEDO</t>
  </si>
  <si>
    <t>JASSON OBED SILVEIRA GARCIA</t>
  </si>
  <si>
    <t>DANIELA YAMILETH SALCEDO VELAZQUEZ</t>
  </si>
  <si>
    <t>PATRICIA ALEJANDRINA LOPEZ RUIZ</t>
  </si>
  <si>
    <t>LUCIA CAROLINA MUNGUIA SILVA</t>
  </si>
  <si>
    <t>ARTURO ALBERTO MUNGUIA NUÑEZ</t>
  </si>
  <si>
    <t xml:space="preserve">MARIA CAROLINA SILVA CASTILLO </t>
  </si>
  <si>
    <t>CINTHIA MARICELA MUNGUIA NUÑEZ</t>
  </si>
  <si>
    <t>NAOMI CEILAN GARCIA PANTOJA</t>
  </si>
  <si>
    <t xml:space="preserve">GONZALO GARCIA LAZARO </t>
  </si>
  <si>
    <t xml:space="preserve">BRISA LANY PANTOJA LOPEZ </t>
  </si>
  <si>
    <t>ESTHER GONZALEZ SILVA</t>
  </si>
  <si>
    <t>PAULINA GUADALUPE PALAFOX LOPEZ</t>
  </si>
  <si>
    <t>NOE NORIEL PALAFOX MERCADO</t>
  </si>
  <si>
    <t>PATRICIA GUADALUPE LOPEZ LOPEZ</t>
  </si>
  <si>
    <t>RENE GUADALUPE BERNAL ORTEGA</t>
  </si>
  <si>
    <t>PATRICIO RENE BERNAL ROMERO</t>
  </si>
  <si>
    <t>MERCEDES ALEJANDRA ORTEGA HAROS</t>
  </si>
  <si>
    <t>BRAYAN DAVID DUARTE BERNAL</t>
  </si>
  <si>
    <t>SAUL JAVIER FIGUEROA ROBLES</t>
  </si>
  <si>
    <t>FRANCISCO JAVIER FIGUEROA ENCINAS</t>
  </si>
  <si>
    <t>ROSINA ROBLES RIOS</t>
  </si>
  <si>
    <t>MARIO RIOS DURAZO</t>
  </si>
  <si>
    <t>SERGIO SANTIAGO GARCIA PANTOJA</t>
  </si>
  <si>
    <t>SILVANA FIGUEROA ROBLES</t>
  </si>
  <si>
    <t>CARMEN TERESA ROBLES MARTINEZ</t>
  </si>
  <si>
    <t>SOPHIA ANAIRAM SILVEIRA SALCEDO</t>
  </si>
  <si>
    <t>AVIGHAIL SILVEIRA GARCIA</t>
  </si>
  <si>
    <t>TADEO ALEJANDRO DANZOS MONGE</t>
  </si>
  <si>
    <t>ANGEL DANIEL MONGE VALENCIA</t>
  </si>
  <si>
    <t>YERALDINE GUADALUPE ROBLES CORDOVA</t>
  </si>
  <si>
    <t>MANUEL MARIA ROBLES VAZQUEZ</t>
  </si>
  <si>
    <t>ANA CANDELARIA CORDOVA ORTIZ</t>
  </si>
  <si>
    <t>MARGARITA GUADALUPE CORDOVA ORTIZ</t>
  </si>
  <si>
    <t>ITZAE MONTAÑO HERNANDEZ</t>
  </si>
  <si>
    <t>JOSE AUGUSTO MONTAÑO HERNANDEZ</t>
  </si>
  <si>
    <t>PALOMA AMELIA HERNANDEZ ROBLES</t>
  </si>
  <si>
    <t>JUAN FRANCISCO TANORI CORDOVA</t>
  </si>
  <si>
    <t>EDNA NELINA HERNANDEZ ROBLES</t>
  </si>
  <si>
    <t>RYAN MATHEW MORRIS HERNANDEZ</t>
  </si>
  <si>
    <t xml:space="preserve">NICHOLAS RYAN MORRIS </t>
  </si>
  <si>
    <t>ANGEL ALBERTO ZAMARRON FLORES</t>
  </si>
  <si>
    <t>CERTIFICADO DE PRIMERA COMUNION 2026</t>
  </si>
  <si>
    <t>ADRIANA HAYDEE NORIEGA LOPEZ</t>
  </si>
  <si>
    <t>NORBERTO NORIEGA ABRIL</t>
  </si>
  <si>
    <t>ADRIANA LOPEZ ALVAREZ</t>
  </si>
  <si>
    <t>SONIA LIZETH NORIEGA ABRIL</t>
  </si>
  <si>
    <t xml:space="preserve">ALYN DAYANNA CAPERON AMPARANO </t>
  </si>
  <si>
    <t>OSCAR CAPERON ZEPEDA</t>
  </si>
  <si>
    <t xml:space="preserve">JULIETA AMPARANO CAMPOY </t>
  </si>
  <si>
    <t>SUGEY VERONICA VAZQUEZ MURILLO</t>
  </si>
  <si>
    <t>ANA VERONICA ENRIQUEZ MARTINEZ</t>
  </si>
  <si>
    <t>JUAN CARLOS ENRIQUEZ ANDRADE</t>
  </si>
  <si>
    <t>VERONICA MARTINEZ ROBLES</t>
  </si>
  <si>
    <t>CLAUDIA LOPEZ OLIVAS</t>
  </si>
  <si>
    <t>ANDRES LEONARDO CABANILLAS SANCHEZ</t>
  </si>
  <si>
    <t>JESUS ANDRES CABANILLAS LARA</t>
  </si>
  <si>
    <t>LUZMIA KAREL SANCHEZ SANCHEZ</t>
  </si>
  <si>
    <t>LEONEY ADENNI SANCHEZ SANCHEZ</t>
  </si>
  <si>
    <t>ANGEL DAMIAN GUTIERREZ AYON</t>
  </si>
  <si>
    <t xml:space="preserve">MARCO ANTONIO GUTIERREZ OCAÑO </t>
  </si>
  <si>
    <t>MARIA ALAIDE AYON BARRERAS</t>
  </si>
  <si>
    <t>OMAR OSWALDO AYON BARRERAS</t>
  </si>
  <si>
    <t>CLAUDIA GUADALUPE VILLEGAS FLORES</t>
  </si>
  <si>
    <t>SALVADOR VILLEGAS QUIÑONES</t>
  </si>
  <si>
    <t>GRISELDA HORTENCIA FLORES ZAMORA</t>
  </si>
  <si>
    <t>LILIANA KARINA CUNDAPI MOLINA</t>
  </si>
  <si>
    <t>DANIELA MICHEL BOJORQUEZ CASTRO</t>
  </si>
  <si>
    <t>JESUS DANIEL BOJORQUEZ GARIBAY</t>
  </si>
  <si>
    <t>CLAUDIA JANNETH CASTRO SANCHEZ</t>
  </si>
  <si>
    <t>CARMEN ADRIANA SOTO SANTILLAN</t>
  </si>
  <si>
    <t>DAVID SANTIAGO VELASCO CANCHOLA</t>
  </si>
  <si>
    <t>DAVID ALBERTO VELASCO CONTRERAS</t>
  </si>
  <si>
    <t>NANCY ESTEFANIA REYES RUIZ</t>
  </si>
  <si>
    <t>FRANCISCA ALEJANDRA MEDINA MORENO</t>
  </si>
  <si>
    <t>DULCE GUADALUPE RUIZ GONZALEZ</t>
  </si>
  <si>
    <t>DANIEL FERNANDO RUIZ HEREDIA</t>
  </si>
  <si>
    <t>CRUZ ELIZABETH GONZALEZ ZAZUETA</t>
  </si>
  <si>
    <t>BERTHA ALICIA DORAME ANTILLON</t>
  </si>
  <si>
    <t>ELENA GUADALUPE BOJORQUEZ CASTRO</t>
  </si>
  <si>
    <t>EVARISTO ENRIQUEZ MARTINEZ</t>
  </si>
  <si>
    <t>ANA HORTENCIA ROBLES CORRALES</t>
  </si>
  <si>
    <t>JIMENA MENDOZA GARCIA</t>
  </si>
  <si>
    <t>DORA MARYTZA MENDOZA ORTEGA</t>
  </si>
  <si>
    <t>JONAS NATANAEL OZUNA MENDIVIL</t>
  </si>
  <si>
    <t xml:space="preserve"> -----------------------------------------------------</t>
  </si>
  <si>
    <t>GUILLERMO RENE VILLA LARA</t>
  </si>
  <si>
    <t>JOSE MAURICIO BOJORQUEZ SOTO</t>
  </si>
  <si>
    <t>JOSE FRANCISCO BOJORQUEZ GARIBAY</t>
  </si>
  <si>
    <t>FELICITAS HERNANDEZ VILLEGAS</t>
  </si>
  <si>
    <t>JOSE OCTAVIO POMPA PAZ</t>
  </si>
  <si>
    <t>HELI JOSE OCTAVIO POMPA URBALEJO</t>
  </si>
  <si>
    <t>MARTHA GUADALUPE PAZ JUVERA</t>
  </si>
  <si>
    <t>RAFAEL DESSENS</t>
  </si>
  <si>
    <t>LUIS ALFONSO LUCERO GUERRERO</t>
  </si>
  <si>
    <t>LUIS ALFONSO LUCERO ESTRADA</t>
  </si>
  <si>
    <t>PERLA GUERRERO BELTRAN</t>
  </si>
  <si>
    <t>FLOR GUERRERO BELTRAN</t>
  </si>
  <si>
    <t>LUISA IVANNA IBARRA CASTELLANOS</t>
  </si>
  <si>
    <t>LUIS ABDEL IBARRA RIVERA</t>
  </si>
  <si>
    <t>ELIANA CRISTAL CASTELLANOS ESCOBAR</t>
  </si>
  <si>
    <t>LAURA DEYANIRA CASTELLANOS ESCOBAR</t>
  </si>
  <si>
    <t>MARTHA NEREYDA AGUILAR CARO</t>
  </si>
  <si>
    <t>MELANY GUADALUPE SILVA BERNAL</t>
  </si>
  <si>
    <t>JOSE JESUS SILVA CASTILLO</t>
  </si>
  <si>
    <t>ALICIA BERNAL VEDOY</t>
  </si>
  <si>
    <t>GUADALUPE BERNAL VEDOY</t>
  </si>
  <si>
    <t>PAULO GIOVANNY RAMOS DIAZ</t>
  </si>
  <si>
    <t>PABLO RUBEN RAMOS PARTIDA</t>
  </si>
  <si>
    <t>ARELY GIOVANNA DIAZ MENCHACA</t>
  </si>
  <si>
    <t>CLAUDIA SELENE BAZUA MARTINEZ</t>
  </si>
  <si>
    <t>RENATA VICTORIA TORRES CORDOVA</t>
  </si>
  <si>
    <t>JUAN JOSE TORRES FUENTES</t>
  </si>
  <si>
    <t>OLBA YADINA CORDOVA VALDEZ</t>
  </si>
  <si>
    <t>ANGELICA GUADALUPE NAVA SALAZAR</t>
  </si>
  <si>
    <t>VALENTINA CORDOVA SOLIS</t>
  </si>
  <si>
    <t>GONZALO OCTAVIO CORDOVA AROS</t>
  </si>
  <si>
    <t>MARTHA OLIVIA SOLIS ZATARAIN</t>
  </si>
  <si>
    <t>VIRGILIO LIZARRAGA MORALES</t>
  </si>
  <si>
    <t>MARIA EMILIA CASTRO VANEGAS</t>
  </si>
  <si>
    <t>CERTIFICADO DE CONFIRMACION 2026</t>
  </si>
  <si>
    <t>ALEJANDRA ESCOBAR PEREZ</t>
  </si>
  <si>
    <t xml:space="preserve">EDUARDO ESCOBAR RAMIREZ </t>
  </si>
  <si>
    <t xml:space="preserve">IVONNE MARICELA PEREZ BASTIDAS </t>
  </si>
  <si>
    <t>MELINA SALAZAR SEAMAN</t>
  </si>
  <si>
    <t xml:space="preserve">ALEJANDRO PALAFOX GAMEZ </t>
  </si>
  <si>
    <t>MARIO ALEJANDRO PALAFOX ARVAYO</t>
  </si>
  <si>
    <t>LILIANA GAMEZ CANIZALEZ</t>
  </si>
  <si>
    <t>LILIAN PALAFOX GAMEZ</t>
  </si>
  <si>
    <t>ANA SOFIA TARAZON GALINDO</t>
  </si>
  <si>
    <t>PAOLA MICHEL QUIÑONEZ CASTILLO</t>
  </si>
  <si>
    <t>ANDREA ENCINAS MARTINEZ</t>
  </si>
  <si>
    <t xml:space="preserve">HERIBERTO ENCINAS LIZARRAGA </t>
  </si>
  <si>
    <t>LILIAN ROCIO MARTINEZ ORTIZ</t>
  </si>
  <si>
    <t>MARIA DEL SOCORRO MARTINEZ ORTIZ</t>
  </si>
  <si>
    <t>DIEGO ALAN GOMEZ CHAVEZ</t>
  </si>
  <si>
    <t>ERICK ABRAHAM GOMEZ SAENZ</t>
  </si>
  <si>
    <t xml:space="preserve">FERNANDO GASTELUM LOPEZ </t>
  </si>
  <si>
    <t xml:space="preserve">MARIA ANTONIETA MALDONADO BUSTAMANTE </t>
  </si>
  <si>
    <t>FRANCISCO PACHECO MACIAS</t>
  </si>
  <si>
    <t>FRANCISCO PACHECO NAVARRO</t>
  </si>
  <si>
    <t>MARIA DOLORES RENTERIA VALENZUELA</t>
  </si>
  <si>
    <t>GLORIA MICHELLE DUSTEN MACIAS</t>
  </si>
  <si>
    <t>LUIS ERNESTO DUSTEN GURROLA</t>
  </si>
  <si>
    <t>GLORIA LIZBETH MACIAS</t>
  </si>
  <si>
    <t>DANIELA LOPEZ ROMO</t>
  </si>
  <si>
    <t>GAEL ANTONIO VALENZUELA CORONADO</t>
  </si>
  <si>
    <t>LUIS ANTONIO VALENZUELA LUNA</t>
  </si>
  <si>
    <t>MONICA AMANDA VALENZUELA LUNA</t>
  </si>
  <si>
    <t>HANNA CARMINE VALENZUELA CORONADO</t>
  </si>
  <si>
    <t>MARIA JOSEFINA VALENZUELA LUNA</t>
  </si>
  <si>
    <t>IKER XAVIER WONG BOURNE</t>
  </si>
  <si>
    <t>FRANCISCO JAVIER WONG CORRAL</t>
  </si>
  <si>
    <t>LUZ RAQUEL BOURNE MURRIETA</t>
  </si>
  <si>
    <t>LUIS JORGE BOURNE MURRIETA</t>
  </si>
  <si>
    <t>IAN LORENZO GARCIA GARCIA</t>
  </si>
  <si>
    <t>LORENZO GARCIA BARRERAS</t>
  </si>
  <si>
    <t>JOSEFINA GARCIA ANDRADE</t>
  </si>
  <si>
    <t>IRVING JAFET GARCIA GARCIA</t>
  </si>
  <si>
    <t>JAVIER IVAN ABOYTE CASTILLO</t>
  </si>
  <si>
    <t>IVAN ALONSO ABOYTE VALENCIA</t>
  </si>
  <si>
    <t>SANTOS GABRIELA CASTILLO CORDOVA</t>
  </si>
  <si>
    <t>FRANCISCO CASTILLO MAZON</t>
  </si>
  <si>
    <t>JULIO CESAR CABRAL MUÑOZ</t>
  </si>
  <si>
    <t>JULIO CESAR CABRAL CRUZ</t>
  </si>
  <si>
    <t>MARIA LAURA MUÑOZ SALAZAR</t>
  </si>
  <si>
    <t>MARTIN ADOLFO SALAZAR OVIEDO</t>
  </si>
  <si>
    <t>KAROL ANDREA MARTINEZ RENDON</t>
  </si>
  <si>
    <t>JUAN DE DIOS MARTINEZ ALDAY</t>
  </si>
  <si>
    <t>LUZ DEL CARMEN RENDON MENESES</t>
  </si>
  <si>
    <t>MARTHA GUADALUPE ESQUER FELIX</t>
  </si>
  <si>
    <t>MEI LI WONG BOURNE</t>
  </si>
  <si>
    <t>MIRANDA RENTERIA ALONSO</t>
  </si>
  <si>
    <t>RAFAEL RENTERIA FELIX</t>
  </si>
  <si>
    <t>NOELIA ALONSO MARTINEZ</t>
  </si>
  <si>
    <t>RENEE MARTINEZ MORENO</t>
  </si>
  <si>
    <t xml:space="preserve"> ------------------------------------------------------------</t>
  </si>
  <si>
    <t>BEATRIZ ELENA MORENO GUERRERO</t>
  </si>
  <si>
    <t>SEBASTIAN ABOYTE CASTILLO</t>
  </si>
  <si>
    <t>CHRISTIAN ANGELICA CORDOVA ESCARCEGA</t>
  </si>
  <si>
    <t>VICTOR ENRIQUE MONTOYA AGUILERA</t>
  </si>
  <si>
    <t>VICTOR ENRIQUE MONTOYA AVENDAÑO</t>
  </si>
  <si>
    <t>DENISSE ELENA AGUILERA BETANCOURT</t>
  </si>
  <si>
    <t>CELIA JAQUELINE CHAVEZ CONTRERAS</t>
  </si>
  <si>
    <t>ERICK ARMANDO ALONSO MARTINEZ</t>
  </si>
  <si>
    <t>JOSE BRAULIO RAYO MONTOYA AVENDAÑO</t>
  </si>
  <si>
    <t>NUESTRA SEÑORA DE LA PAZ</t>
  </si>
  <si>
    <t>ABRAHAM CORNEJO CAMPOS</t>
  </si>
  <si>
    <t>ALEXA NICOLE ANGEL MALDONADO</t>
  </si>
  <si>
    <t>CECILIA MICHELLE MALDONADO CORONA</t>
  </si>
  <si>
    <t>ANDREA PAULINA BELTRAN RIOS</t>
  </si>
  <si>
    <t>MARTHA BELTRAN SUEFF</t>
  </si>
  <si>
    <t>GLORIA ALBA PEÑUÑURI GARDNER</t>
  </si>
  <si>
    <t xml:space="preserve">EDUARDO PESQUEIRA ALVAREZ </t>
  </si>
  <si>
    <t>LAURA ELENA PESQUEIRA PESQUEIRA</t>
  </si>
  <si>
    <t>FRANCISCO HINOJOSA GUADARRAMA</t>
  </si>
  <si>
    <t>ALEJANDRO CORRAL HERNANDEZ</t>
  </si>
  <si>
    <t>GERMAN LEON NOGALES</t>
  </si>
  <si>
    <t>GILBERTO LEON CASTILLO</t>
  </si>
  <si>
    <t>ARLENE NOGALES MONTIJO</t>
  </si>
  <si>
    <t>LIBRADA MONTIJO JIMENEZ</t>
  </si>
  <si>
    <t>FLOR DE GUADALUPE LARRINAGA FIGUEROA</t>
  </si>
  <si>
    <t>NIEVES DEL CARMEN FIGUEROA CONDEZ DE LA TORRE</t>
  </si>
  <si>
    <t xml:space="preserve">ESTHER ALICIA SORTILLON GONZALEZ </t>
  </si>
  <si>
    <t>VALENTINA HURTADO SORTILLON</t>
  </si>
  <si>
    <t>JULISA MARLENY DUARTE LIÑAN</t>
  </si>
  <si>
    <t>JULIO CESAR DUARTE RIOS</t>
  </si>
  <si>
    <t>CLAUDIA EDITH LIÑAN CARRILLO</t>
  </si>
  <si>
    <t>LUCINA GUADALUPE DUARTE RIOS</t>
  </si>
  <si>
    <t>MIGUEL ANIBAL ENCINAS PERALTA</t>
  </si>
  <si>
    <t>MIGUEL ANGEL ENCINAS DE LA TORRE</t>
  </si>
  <si>
    <t>ALMA LORENA PERALTA MUÑOZ</t>
  </si>
  <si>
    <t>ARMANDO ALBERTO PRECIADO BELTRONES</t>
  </si>
  <si>
    <t>NATALIA LOUSTAUNAU RODRIGUEZ</t>
  </si>
  <si>
    <t>MIGUEL ALFREDO LOUSTAUNAU ACUÑA</t>
  </si>
  <si>
    <t>LUZ YURIDIA RODRIGUEZ GARCIA</t>
  </si>
  <si>
    <t>DANIELA GUADALUPE MONGE ESTRELLA</t>
  </si>
  <si>
    <t>NICOLAS FELIX LUNA</t>
  </si>
  <si>
    <t>LUIS GUSTAVO FELIX POMPA</t>
  </si>
  <si>
    <t>MARIA BERENICE LUNA APODACA</t>
  </si>
  <si>
    <t>LUIS FERNANDO TONA SCOTT</t>
  </si>
  <si>
    <t>ROBETO ZAMORA CANTUA</t>
  </si>
  <si>
    <t>EDUARDO RAMON RODRIGUEZ</t>
  </si>
  <si>
    <t>SANTIAGO VILLANUEVA GONZALEZ</t>
  </si>
  <si>
    <t>IMELDO ADRIAN VILLANUEVA FAVA</t>
  </si>
  <si>
    <t>SIRACIDE MARIANA CORONEL CERON</t>
  </si>
  <si>
    <t>VIRIDIANA MONTERO MORENO</t>
  </si>
  <si>
    <t>JESUS EL SEÑOR</t>
  </si>
  <si>
    <t>ABRIL RODARTE SANCHEZ</t>
  </si>
  <si>
    <t>JESUS FERNANDO RODARTE MORALES</t>
  </si>
  <si>
    <t>ANA CECILIA SANCHEZ YAÑEZ</t>
  </si>
  <si>
    <t>FABIAN HEBERTO VEGA FIGUEROA</t>
  </si>
  <si>
    <t>LUISA MARIA DEVORA MEDINA</t>
  </si>
  <si>
    <t>JORGE ALBERTO MUÑOZ JIMENEZ</t>
  </si>
  <si>
    <t>ANA SOFIA MUÑOZ BOURJAC</t>
  </si>
  <si>
    <t>FATIMA MARIA BOURJAC FLORES</t>
  </si>
  <si>
    <t>CONCEPCION MUÑOZ JIMENEZ</t>
  </si>
  <si>
    <t xml:space="preserve">ANDREA NICOLE ROMERO ALFARO </t>
  </si>
  <si>
    <t>ADRIAN ROMERO BUERAS</t>
  </si>
  <si>
    <t>ZULEMA ELIZABETH ALFARO ARAUJO</t>
  </si>
  <si>
    <t>CLAUDIA GUADALUPE ALFARO ARAUJO</t>
  </si>
  <si>
    <t>JESUS IDALIA LOPEZ ARAGON</t>
  </si>
  <si>
    <t>JESUS ENRIQUE OCHOA AVILA</t>
  </si>
  <si>
    <t>ANA HORTENCIA ROBLES CORRAL</t>
  </si>
  <si>
    <t>FRANCISCO JAVIER TABANICO LEON</t>
  </si>
  <si>
    <t>MARIA FERNANDA JIMENEZ MORENO</t>
  </si>
  <si>
    <t>GERARDO TABANICO JIMENEZ</t>
  </si>
  <si>
    <t>GLADYS CAMARA OCHOA</t>
  </si>
  <si>
    <t xml:space="preserve"> -------------------------------------------------------</t>
  </si>
  <si>
    <t>DAVID HUSSAIN SILVA URBALEJO</t>
  </si>
  <si>
    <t>JUAN CARLOS ENRIQUEZ MARTINEZ</t>
  </si>
  <si>
    <t>ADOLFO VILLEGAS ROMERO</t>
  </si>
  <si>
    <t>KAROL VALENTINA CAMPAÑA CADILLO</t>
  </si>
  <si>
    <t>MARTHA CRISTINA CAMPAÑA PADILLA</t>
  </si>
  <si>
    <t>MATEO REYNA JUVERA</t>
  </si>
  <si>
    <t xml:space="preserve">GLORIA ALICIA JUVERA AYALA </t>
  </si>
  <si>
    <t>HECTOR MANUEL JUVERA FLORES</t>
  </si>
  <si>
    <t>REGINA GUADALUPE MORENO DURAN</t>
  </si>
  <si>
    <t>GABRIELA GUADALUPE DURAN MOLINA</t>
  </si>
  <si>
    <t>ROMINA GAMEZ BOJORQUEZ</t>
  </si>
  <si>
    <t>JESUS ARMANDO RAMOS DORAME</t>
  </si>
  <si>
    <t>ANA PAULINA GALVEZ BUSTAMANTE</t>
  </si>
  <si>
    <t>CRISTA ANGELICA RAMOS DORAME</t>
  </si>
  <si>
    <t>MARIA JOSE RAMOS DORAME</t>
  </si>
  <si>
    <t>JESUS NICOLAS AMAYA RAMOS</t>
  </si>
  <si>
    <t>JESUS MANUEL AMAYA CORDOVA</t>
  </si>
  <si>
    <t>JASON ALBERTO LARA LOSANO</t>
  </si>
  <si>
    <t>CHRISTIAN DARIEL RAMOS GALVEZ</t>
  </si>
  <si>
    <t xml:space="preserve">PBRO.  GERARDO </t>
  </si>
  <si>
    <t>CAMACHO PONCE</t>
  </si>
  <si>
    <t>NUESTRA SEÑORA DE LA PAZ - 10 DE JUNIO DEL 2026 - 7:00 PM</t>
  </si>
  <si>
    <t>NUESTRA SEÑORA DE LA PAZ - 30 DE MAYO DEL 2026 - 9:00 PM</t>
  </si>
  <si>
    <t>ADRIAN NUÑEZ CASTILLO</t>
  </si>
  <si>
    <t>ADRIAN NUÑEZ</t>
  </si>
  <si>
    <t>ROSALBA CASTILLO SOBERANES</t>
  </si>
  <si>
    <t>ERICK ALEJANDRO GONZALEZ NAVARRO</t>
  </si>
  <si>
    <t>EFRAIN HIDALGO VALENZUELA</t>
  </si>
  <si>
    <t>EFRAIN HIDALGO MARTINEZ</t>
  </si>
  <si>
    <t>ROSA MARIA VALENZUELA FIGUEROA</t>
  </si>
  <si>
    <t>JOSELYN ARCE MONTES</t>
  </si>
  <si>
    <t>HADJANY LANDA ACOSTA</t>
  </si>
  <si>
    <t>LEONARDO LANDA CARRION</t>
  </si>
  <si>
    <t>LAURA ACOSTA PONCE</t>
  </si>
  <si>
    <t>MARIA DE LOS ANGELES ACOSTA PONCE</t>
  </si>
  <si>
    <t>EDGAR LOPEZ VASQUEZ</t>
  </si>
  <si>
    <t>ALMA ANGELINA GOMEZ GASTELUM</t>
  </si>
  <si>
    <t>CARMEN PILAR LOPEZ VAZQUEZ</t>
  </si>
  <si>
    <t>KEVIN ARTURO BARRERA PERALTA</t>
  </si>
  <si>
    <t xml:space="preserve"> ----------------------------------------------------------</t>
  </si>
  <si>
    <t>KARLA PAOLA BARRERA PERALTA</t>
  </si>
  <si>
    <t>KRISTOPHER MIGUEL GARCIA PUENTE</t>
  </si>
  <si>
    <t>MIGUEL ANGEL GARCIA GUZMAN</t>
  </si>
  <si>
    <t>SANDRA LUZ PUENTE ALVAREZ</t>
  </si>
  <si>
    <t>ROBERTO CARLOS MARTINEZ DELGADO</t>
  </si>
  <si>
    <t>RODOLFO MARTINEZ LEYVA</t>
  </si>
  <si>
    <t>MARIA IRMA DELGADO GONZALEZ</t>
  </si>
  <si>
    <t>ELIZANDRO GUADALUPE GARCIA NORIEGA</t>
  </si>
  <si>
    <t>ROSA MARISOL SOTELO CHICUATE</t>
  </si>
  <si>
    <t>JESUS ALBERTO SOTELO CASTRO</t>
  </si>
  <si>
    <t>MARISOL CHICUATE BUELNA</t>
  </si>
  <si>
    <t>ILIANA AZUCENA RIOS CASTRO</t>
  </si>
  <si>
    <t>NIDIA ESTHELA ANGÜIS CARRILLO</t>
  </si>
  <si>
    <t>ERIK TEODORO ESPINOZA GARCIA</t>
  </si>
  <si>
    <t>ANGELA PADILLA VIRGEN</t>
  </si>
  <si>
    <t>SAN PIO DE PIETRELCINA</t>
  </si>
  <si>
    <t xml:space="preserve">ANA VALERIA BELTRAN LOPEZ </t>
  </si>
  <si>
    <t>ALMA PATRICIA APODACA VEJAR</t>
  </si>
  <si>
    <t>ANGEL ABEL LUNA MENDEZ</t>
  </si>
  <si>
    <t>MARIO ALBERTO LUNA RODRIGUEZ</t>
  </si>
  <si>
    <t>BRAYAN ABEL HERNANDEZ LUNA</t>
  </si>
  <si>
    <t>AYLIN MICHELL GUARISTA FLORES</t>
  </si>
  <si>
    <t>CARLOS SEBASTIAN CASTILLO VALENZUELA</t>
  </si>
  <si>
    <t>FERNANDA GUADALUPE ESCAMILLA ROMO</t>
  </si>
  <si>
    <t>IVAN EMMANUEL RAMOS MENDEZ</t>
  </si>
  <si>
    <t>REYNA BARRAGAN BARRAGAN</t>
  </si>
  <si>
    <t>AVELINO SERRATOS ENCINAS</t>
  </si>
  <si>
    <t xml:space="preserve"> -------------------------------------------------------------</t>
  </si>
  <si>
    <t>CIRILO GERARDO ESCAMILLA AYALA</t>
  </si>
  <si>
    <t>MARIA CANDELARIA VASQUEZ ACUÑA</t>
  </si>
  <si>
    <t>KARLA ZARINA SOTO CAMARGO</t>
  </si>
  <si>
    <t>JOSE CARLOS SIQUEIROS GONZALEZ</t>
  </si>
  <si>
    <t>JOSE CARLOS BUSTAMANTE RAMOS</t>
  </si>
  <si>
    <t>CLAUDIA AVILENE RAMOS LUNA</t>
  </si>
  <si>
    <t>JOSE JULIAN HEREDIA VALENZUELA</t>
  </si>
  <si>
    <t>JOSE GUADALUPE HEREDIA MARTINEZ</t>
  </si>
  <si>
    <t>SARAHI LIZBETH GRIJALVA RUIZ</t>
  </si>
  <si>
    <t>LILIAN GUADALUPE DIAZ OCHOA</t>
  </si>
  <si>
    <t>GUADALUPE DIAZ LOPEZ</t>
  </si>
  <si>
    <t>MARIA FRANCISCA LOERA ROCHIN</t>
  </si>
  <si>
    <t>MIRIAM GUADALUPE CASTRO CELAYA</t>
  </si>
  <si>
    <t>OSCAR ERNESTO CASTRO SANTANEÑO</t>
  </si>
  <si>
    <t>NAHOMI YAMILETH PORTILLO NEVAREZ</t>
  </si>
  <si>
    <t>SHEILA SARAHI NEVAREZ AGUAYO</t>
  </si>
  <si>
    <t>SERGIO MARTIN VILLA SANTACRUZ</t>
  </si>
  <si>
    <t>SERGIO VILLA CORDOVA</t>
  </si>
  <si>
    <t>NATIVIDAD SANTACRUZ CRUZ</t>
  </si>
  <si>
    <t>FRANCISCA JANETH GALVEZ ARENAS</t>
  </si>
  <si>
    <t>VIRIDIANA RAMOS LUNA</t>
  </si>
  <si>
    <t>ANAID LOPEZ LANDAVAZO</t>
  </si>
  <si>
    <t>VICTOR GABRIEL LOPEZ MENDIVIL</t>
  </si>
  <si>
    <t>DIANA GUADALUPE LANDAVAZO GOMEZ</t>
  </si>
  <si>
    <t>ANA FERNANDA ORTIZ HURTADO</t>
  </si>
  <si>
    <t>IGNACIO ALBERTO ORTIZ ROMO</t>
  </si>
  <si>
    <t>ANA MIRIAM HURTADO LEY</t>
  </si>
  <si>
    <t>ALEYDIS VIGUERIAS CAMARA</t>
  </si>
  <si>
    <t>ALEJANDRO VIGUERIAS ORTIZ</t>
  </si>
  <si>
    <t>AARON EDUARDO CARRION DESSENS</t>
  </si>
  <si>
    <t>JORGE CARRION CELAYA</t>
  </si>
  <si>
    <t>MARTHA AIMEE DESSENS MOLINA</t>
  </si>
  <si>
    <t>ALMA DELIA ROMERO RUELAS</t>
  </si>
  <si>
    <t>CAMILA GUADALUPE ESPINOZA SINOHUI</t>
  </si>
  <si>
    <t>ADRIAN ESPINOZA MONTAÑO</t>
  </si>
  <si>
    <t>GUADALUPE GLORIA SINOHUI SESMA</t>
  </si>
  <si>
    <t>MARIA DE LOS ANGELES OLIVAS AUDELO</t>
  </si>
  <si>
    <t>CRISTIAN IRAM CASTILLO HERMOSILLO</t>
  </si>
  <si>
    <t>FRANCISCO CASTILLO ROMERO</t>
  </si>
  <si>
    <t>MIRNA GUADALUPE HERMOSILLO LOPEZ</t>
  </si>
  <si>
    <t>DOLORES RAMIREZ MARTINEZ</t>
  </si>
  <si>
    <t>DANNA GUADALUPE RUIZ GONZALEZ</t>
  </si>
  <si>
    <t>MARIA MAGDALENA OVIEDO HERRERA</t>
  </si>
  <si>
    <t>FATIMA HITAI LOPEZ GARCIA</t>
  </si>
  <si>
    <t>FRIDA SOFIA FELIX FIERROS</t>
  </si>
  <si>
    <t>VICTOR MANUEL FELIX ELIZALDE</t>
  </si>
  <si>
    <t>DENISSE ALIDA FIERROS MURO</t>
  </si>
  <si>
    <t>MELISA GUADALUPE MORALES AGUILAR</t>
  </si>
  <si>
    <t>IAN SEBASTIAN TORRES CEDANO</t>
  </si>
  <si>
    <t>JOSE MANUEL TORRES GARCIA</t>
  </si>
  <si>
    <t>ARIADNA IBETTE CEDANO CORONEL</t>
  </si>
  <si>
    <t>MIRIAM JANET TORRES GARCIA</t>
  </si>
  <si>
    <t>IKER IVAN CASTELLANOS MARTINEZ</t>
  </si>
  <si>
    <t>ISABELLA ESPINOZA SINOHUI</t>
  </si>
  <si>
    <t>SANTA GLORIA SINOHUI SESMA</t>
  </si>
  <si>
    <t>JAEL VALENTINA ESPINOZA QUEZADA</t>
  </si>
  <si>
    <t>JORGE RUIZ OLIVERA</t>
  </si>
  <si>
    <t>CARLOS EDUARDO RUIZ ARMENTA</t>
  </si>
  <si>
    <t>MARGARITA MAYTORENA VELARDE</t>
  </si>
  <si>
    <t>ROBERTO COTA MONDACA</t>
  </si>
  <si>
    <t>JUAN CARLOS MORAN LOPEZ</t>
  </si>
  <si>
    <t>CLAUDIA MAYTE LOPEZ INZUNZA</t>
  </si>
  <si>
    <t>OSCAR ESTEBAN LOPEZ INZUNZA</t>
  </si>
  <si>
    <t>LUIS CARLOS GUTIERREZ PASOZ</t>
  </si>
  <si>
    <t>IVAN GILBERTO GUTIERREZ NAVARRO</t>
  </si>
  <si>
    <t>FRANCISCA HERMINIA PASOZ PEREZ</t>
  </si>
  <si>
    <t>BERTHA ALICIA NAVARRO GERALDO</t>
  </si>
  <si>
    <t>LUIS FERNANDO LEON HERMOSILLO</t>
  </si>
  <si>
    <t>LUIS CARLOS LEON ENCINAS</t>
  </si>
  <si>
    <t>DULCE MARIA HERMOSILLO LOPEZ</t>
  </si>
  <si>
    <t>MARIAN ALEXIA CASTRO DURAN</t>
  </si>
  <si>
    <t>ROMEO  CASTRO VALENCIA</t>
  </si>
  <si>
    <t>JOSEFINA ISLAS CONTRERAS</t>
  </si>
  <si>
    <t>NAHOMI SOFIA GARCIA OJEDA</t>
  </si>
  <si>
    <t>PEDRO GARCIA VICENCIO</t>
  </si>
  <si>
    <t>NATALIA LUCIA AGUILAR SAINZ</t>
  </si>
  <si>
    <t>JESUS MANUEL AGUILAR TALAMENTE</t>
  </si>
  <si>
    <t>NORA GABRIELA SAINZ ZARATE</t>
  </si>
  <si>
    <t>LUCIA ZARATE OCHOA</t>
  </si>
  <si>
    <t>OLIVIA MORENO GARCIA</t>
  </si>
  <si>
    <t>PALOMA BIEBRICH AMADOR</t>
  </si>
  <si>
    <t>SERGIO BIEBRICH GUEVARA</t>
  </si>
  <si>
    <t>NORMA PATRICIA AMADOR MONTAÑO</t>
  </si>
  <si>
    <t>NORMA LETICIA MONTAÑO</t>
  </si>
  <si>
    <t>MANUEL ALBERTO AQUINO FONG</t>
  </si>
  <si>
    <t>REBECA SALIDO GUARDIAN</t>
  </si>
  <si>
    <t>RENE SALIDO PEREZ</t>
  </si>
  <si>
    <t>OLGA IRENE GUARDIAN SOTO</t>
  </si>
  <si>
    <t xml:space="preserve">MARIA LAURA HIGUERA CARRILLO </t>
  </si>
  <si>
    <t>REGINA PATRICIA AGUILAR SAINZ</t>
  </si>
  <si>
    <t>DANIEL SAINZ FLORES</t>
  </si>
  <si>
    <t>RENATA RAYGOZA OJEDA</t>
  </si>
  <si>
    <t>SEBASTIAN CORONADO CHAVEZ</t>
  </si>
  <si>
    <t>DIANA PATRICIA CHAVEZ FLORES</t>
  </si>
  <si>
    <t>VICTOR MANUEL BETANCOURT VILLALOBOS</t>
  </si>
  <si>
    <t>VICTOR MANUEL BETANCOURT CASTILLO</t>
  </si>
  <si>
    <t>ISABEL VILLALOBOS VELAZQUEZ</t>
  </si>
  <si>
    <t>ANSIX PEREZ MENDOZA</t>
  </si>
  <si>
    <t>ZYAHN ROSABEL SANTAOLAYA MIRANDA</t>
  </si>
  <si>
    <t>IVAN EDUARDO SANTAOLAYA  CORTEZ</t>
  </si>
  <si>
    <t>ROSABEL MIRANDA DURAN</t>
  </si>
  <si>
    <t>ANDREA MIRANDA ROUNTREE</t>
  </si>
  <si>
    <t>MARIA MAGDALENA GARCIA LEYVA</t>
  </si>
  <si>
    <t xml:space="preserve">ASTRID SELENE QUEZADA ENCINAS </t>
  </si>
  <si>
    <t>ANA MYRIAM OLIVERA ARBALLO</t>
  </si>
  <si>
    <t>JUAN MANUEL MORAN MARTIN</t>
  </si>
  <si>
    <t>NUESTRA SEÑORA DE LA PAZ ADULTOS</t>
  </si>
  <si>
    <t>ANDREA VARELA HERRERA</t>
  </si>
  <si>
    <t>ADALBERTO VARELA CAÑEZ</t>
  </si>
  <si>
    <t>AURORA HERRERA LUJAN</t>
  </si>
  <si>
    <t>LOURDES KARINA GUTIERREZ DIAZ</t>
  </si>
  <si>
    <t>ANDRES VALENZUELA RAMOS</t>
  </si>
  <si>
    <t>MARCO ANTONIO VALENZUELA CHAVEZ</t>
  </si>
  <si>
    <t>ANA MARIA RAMOS CORDOVA</t>
  </si>
  <si>
    <t>LUZ MIREYA VALENZUELA CHAVEZ</t>
  </si>
  <si>
    <t>BEATRIZ ALEJANDRA VILLEGAS BARBEYTIA</t>
  </si>
  <si>
    <t>LEOPOLDO ARTURO VILLEGAS PELAYO</t>
  </si>
  <si>
    <t>MARIA ANGELICA BARBEYTIA LAGARDA</t>
  </si>
  <si>
    <t>VIOLETA NAYELI MOROYOQUI CAMPAS</t>
  </si>
  <si>
    <t>BLANCA GEOVANNA DUARTE ARVIZU</t>
  </si>
  <si>
    <t>JOSE ENRIQUE DUARTE RAMIREZ</t>
  </si>
  <si>
    <t>BLANCA ESTHELA ARVIZU CARMONA</t>
  </si>
  <si>
    <t>PATRICIA MARIBEL ARVIZU CARMONA</t>
  </si>
  <si>
    <t>CARLOS DAVID OBREGON ALCARAZ</t>
  </si>
  <si>
    <t>JOSE ALVARO OBREGON GARCIA</t>
  </si>
  <si>
    <t>ROSA ALCARAZ MARTINEZ</t>
  </si>
  <si>
    <t>RAMON FERNANDO LOPEZ PEREZ</t>
  </si>
  <si>
    <t>CESAR LUIS ANGEL OLIVARES ARVIZU</t>
  </si>
  <si>
    <t>JOSE ANGEL OLIVARES CARRIZOZA</t>
  </si>
  <si>
    <t>ISABEL JUDITH ARVIZU CARMONA</t>
  </si>
  <si>
    <t>JULIAN RICARDO MARQUEZ HERNANDEZ</t>
  </si>
  <si>
    <t>ARIEL FLORES MEXIA</t>
  </si>
  <si>
    <t>FRANCISCA ELENA HERNANDEZ RODRIGUEZ</t>
  </si>
  <si>
    <t>IVONNE DAYANA BOJORQUEZ FIGUEROA</t>
  </si>
  <si>
    <t>JOSE ALFREDO JIMENEZ ESCALANTE</t>
  </si>
  <si>
    <t>ERIK ALEXIS MONTAÑO VALENZUELA</t>
  </si>
  <si>
    <t>JESUS SAUL MONTAÑO ACOSTA</t>
  </si>
  <si>
    <t>FRANCISCA JULIANA ALCARAZ PICO</t>
  </si>
  <si>
    <t xml:space="preserve"> --------------------------------------------------------</t>
  </si>
  <si>
    <t>MARIA ETELVINA ALCARAZ PICO</t>
  </si>
  <si>
    <t>GUADALUPE AUDELIA MEDINA ALCARAZ</t>
  </si>
  <si>
    <t>IBETH YESSENIA DUARTE FLORES</t>
  </si>
  <si>
    <t>LORETO DUARTE GARCIA</t>
  </si>
  <si>
    <t>GLORIA ALICIA FLORES RUIZ</t>
  </si>
  <si>
    <t>CARMEN IMELDA CORDOVA BARRIOS</t>
  </si>
  <si>
    <t>KARLA GABRIELA NAVARRO PALACIOS</t>
  </si>
  <si>
    <t>HERIBERTO NAVARRO JIMENEZ</t>
  </si>
  <si>
    <t>VIRGINIA PALACIOS OROZCO</t>
  </si>
  <si>
    <t xml:space="preserve">SANDRA LUZ GRACIA AMAYA </t>
  </si>
  <si>
    <t xml:space="preserve">  -----------------------------------------------------</t>
  </si>
  <si>
    <t>ARTURO AVILA ROSAS</t>
  </si>
  <si>
    <t>LEE GABRIEL CEBALLOS ACOSTA</t>
  </si>
  <si>
    <t>ARIEL GABRIEL CEBALLOS MORALES</t>
  </si>
  <si>
    <t>SERGIO IGNACIO GANDARA NOYOLA</t>
  </si>
  <si>
    <t>LLUVIA KARINA SALAZAR PATRON</t>
  </si>
  <si>
    <t>OSCAR MANUEL SALAZAR RUBIO</t>
  </si>
  <si>
    <t xml:space="preserve">NORA PATRICIA PATRON QUIJADA </t>
  </si>
  <si>
    <t>DANIEL ALEJANDRO SALAZAR PATRON</t>
  </si>
  <si>
    <t>MARIA DANIELA ALVAREZ CAMPA</t>
  </si>
  <si>
    <t>MELVIN OBIED ALVAREZ VEGA</t>
  </si>
  <si>
    <t>MARIA TERESA CAMPA MOLINA</t>
  </si>
  <si>
    <t>PATRICIA CAMPA MOLINA</t>
  </si>
  <si>
    <t>MILITZA YORLEEI ENCINAS CALDERON</t>
  </si>
  <si>
    <t>MILAGROS GUADALUPE CALDERON ESQUER</t>
  </si>
  <si>
    <t>RONALD ANTONIO ENCIANAS VARGAS</t>
  </si>
  <si>
    <t>GUILLERMINA EDUWIGES COTA MONTAÑO</t>
  </si>
  <si>
    <t>MONICA DEL CASTILLO VALENCIA</t>
  </si>
  <si>
    <t>JUAN PEDRO DEL CASTILLOENCINAS</t>
  </si>
  <si>
    <t>MONICA VALENCIA GRACIA</t>
  </si>
  <si>
    <t>GRACIELA VALENCIA GRACIA</t>
  </si>
  <si>
    <t>NATHALIE CAMACHO SANCHEZ</t>
  </si>
  <si>
    <t>JAIME ANTONIO CAMACHO ESPINOZA</t>
  </si>
  <si>
    <t>DIANA GUADALUPE DEVORA MEDINA</t>
  </si>
  <si>
    <t>ROXANA QUIRRIN MURILLO</t>
  </si>
  <si>
    <t>JESUS EFRAIN QUIRRIN CORTEZ</t>
  </si>
  <si>
    <t>SONIA IRENE MURILLO VIERA</t>
  </si>
  <si>
    <t>AIDEE GUADALUPE QUIRRIN CORTEZ</t>
  </si>
  <si>
    <t>SARID DONALDO MONGE DAGNINO</t>
  </si>
  <si>
    <t>GILDARDO MONGE ESCARCEGA</t>
  </si>
  <si>
    <t>EDNA PATRICIA DAGNINO HOLGUIN</t>
  </si>
  <si>
    <t>BRAYAN MORENO ANDRADE</t>
  </si>
  <si>
    <t>YARIL MICHELLE MORENO BORBON</t>
  </si>
  <si>
    <t>GERARDO ISAAC MORENO OZUNA</t>
  </si>
  <si>
    <t>LORENA ANGELICA BORBON LARIOS</t>
  </si>
  <si>
    <t>BETSAIDA DOMINGUEZ MOROYOQUI</t>
  </si>
  <si>
    <t>YESICCA VALENZUELA CIENFUEGOS</t>
  </si>
  <si>
    <t>RAMON IGNACIO VALENZUELA GALAZ</t>
  </si>
  <si>
    <t>GAUDELIA EDUWIGES CIENFUEGOS VILLA</t>
  </si>
  <si>
    <t>MARTHA LETICIA TORRES VILLA</t>
  </si>
  <si>
    <t>BLANCA ANGELITA PRECIADO LIZARRAGA</t>
  </si>
  <si>
    <t xml:space="preserve">          ARZ. RUY RENDÓN LEAL</t>
  </si>
  <si>
    <t xml:space="preserve">VICTORIA DE LOS ANGELES MC PHERSON </t>
  </si>
  <si>
    <t>DENNIA ARIEL FLORES HERNANDEZ</t>
  </si>
  <si>
    <t xml:space="preserve">XICOTENCATL AYON FELIX </t>
  </si>
  <si>
    <t>GUADALUPE HAYDEE BARRERAS DE AYON</t>
  </si>
  <si>
    <t>CONCEPCION GUILLERMINA GONZALEZ DUARTE</t>
  </si>
  <si>
    <t xml:space="preserve">FRANCISCO ADALBERTO HINOJOSA MC PHERSON      </t>
  </si>
  <si>
    <t>GUADALUPE AMANDA CORONADO COLORES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</si>
</sst>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43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sz val="12"/>
      <color indexed="8"/>
      <name val="Century Gothic"/>
      <family val="2"/>
    </font>
    <font>
      <sz val="11"/>
      <color indexed="8"/>
      <name val="Century Gothic"/>
      <family val="2"/>
    </font>
    <font>
      <b/>
      <sz val="14"/>
      <color indexed="8"/>
      <name val="Lucida Calligraphy"/>
      <family val="4"/>
    </font>
    <font>
      <b/>
      <sz val="11"/>
      <color indexed="8"/>
      <name val="Century Gothic"/>
      <family val="2"/>
    </font>
    <font>
      <sz val="10"/>
      <name val="Arial"/>
      <family val="2"/>
    </font>
    <font>
      <b/>
      <sz val="11"/>
      <color indexed="8"/>
      <name val="Lucida Calligraphy"/>
      <family val="4"/>
    </font>
    <font>
      <sz val="11"/>
      <color indexed="8"/>
      <name val="Lucida Calligraphy"/>
      <family val="4"/>
    </font>
    <font>
      <b/>
      <sz val="16"/>
      <color rgb="FF0070C0"/>
      <name val="Arial"/>
      <family val="2"/>
    </font>
    <font>
      <b/>
      <sz val="14"/>
      <color indexed="8"/>
      <name val="Cambria"/>
      <family val="1"/>
      <scheme val="maj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Calibri"/>
      <family val="2"/>
    </font>
    <font>
      <sz val="9"/>
      <color indexed="8"/>
      <name val="Calibri"/>
      <family val="2"/>
      <scheme val="minor"/>
    </font>
    <font>
      <sz val="9"/>
      <color indexed="8"/>
      <name val="Calibri"/>
      <family val="2"/>
    </font>
    <font>
      <sz val="9"/>
      <color theme="0"/>
      <name val="Calibri"/>
      <family val="2"/>
    </font>
    <font>
      <sz val="9"/>
      <name val="Arial"/>
      <family val="2"/>
    </font>
    <font>
      <b/>
      <sz val="12"/>
      <color rgb="FF0070C0"/>
      <name val="Arial"/>
      <family val="2"/>
    </font>
    <font>
      <sz val="10"/>
      <color indexed="8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theme="1"/>
      <name val="Bahnschrift Light SemiCondensed"/>
      <family val="2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1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3" fillId="0" borderId="0"/>
    <xf numFmtId="0" fontId="3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8" fillId="0" borderId="7" applyNumberFormat="0" applyFill="0" applyAlignment="0" applyProtection="0"/>
    <xf numFmtId="0" fontId="17" fillId="0" borderId="8" applyNumberFormat="0" applyFill="0" applyAlignment="0" applyProtection="0"/>
  </cellStyleXfs>
  <cellXfs count="162">
    <xf numFmtId="0" fontId="0" fillId="0" borderId="0" xfId="0"/>
    <xf numFmtId="0" fontId="0" fillId="0" borderId="0" xfId="0" applyAlignment="1">
      <alignment horizontal="center"/>
    </xf>
    <xf numFmtId="0" fontId="1" fillId="24" borderId="0" xfId="0" applyFont="1" applyFill="1" applyAlignment="1">
      <alignment horizontal="center"/>
    </xf>
    <xf numFmtId="0" fontId="3" fillId="0" borderId="0" xfId="32" applyProtection="1"/>
    <xf numFmtId="0" fontId="3" fillId="0" borderId="0" xfId="32" applyFill="1" applyProtection="1"/>
    <xf numFmtId="0" fontId="19" fillId="0" borderId="0" xfId="32" applyFont="1" applyFill="1" applyAlignment="1" applyProtection="1">
      <alignment horizontal="left"/>
    </xf>
    <xf numFmtId="0" fontId="20" fillId="0" borderId="0" xfId="32" applyFont="1" applyFill="1" applyAlignment="1" applyProtection="1">
      <alignment horizontal="left"/>
    </xf>
    <xf numFmtId="0" fontId="22" fillId="0" borderId="0" xfId="32" applyFont="1" applyFill="1" applyAlignment="1" applyProtection="1">
      <alignment horizontal="left"/>
    </xf>
    <xf numFmtId="0" fontId="21" fillId="0" borderId="0" xfId="32" applyFont="1" applyFill="1" applyAlignment="1" applyProtection="1">
      <alignment horizontal="center"/>
    </xf>
    <xf numFmtId="0" fontId="22" fillId="0" borderId="0" xfId="32" applyFont="1" applyFill="1" applyAlignment="1" applyProtection="1">
      <alignment horizontal="center"/>
    </xf>
    <xf numFmtId="0" fontId="0" fillId="25" borderId="0" xfId="0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0" borderId="0" xfId="0" applyFont="1"/>
    <xf numFmtId="1" fontId="3" fillId="0" borderId="0" xfId="32" applyNumberFormat="1" applyFill="1" applyProtection="1"/>
    <xf numFmtId="0" fontId="22" fillId="0" borderId="0" xfId="32" applyFont="1" applyFill="1" applyAlignment="1" applyProtection="1"/>
    <xf numFmtId="1" fontId="3" fillId="0" borderId="0" xfId="32" applyNumberFormat="1" applyFill="1" applyAlignment="1" applyProtection="1"/>
    <xf numFmtId="0" fontId="3" fillId="25" borderId="0" xfId="32" applyFill="1" applyProtection="1">
      <protection locked="0"/>
    </xf>
    <xf numFmtId="0" fontId="3" fillId="25" borderId="0" xfId="32" applyFill="1" applyProtection="1"/>
    <xf numFmtId="0" fontId="21" fillId="0" borderId="0" xfId="32" applyFont="1" applyFill="1" applyAlignment="1" applyProtection="1"/>
    <xf numFmtId="1" fontId="3" fillId="0" borderId="0" xfId="32" applyNumberFormat="1" applyFill="1" applyAlignment="1" applyProtection="1">
      <alignment horizontal="left"/>
    </xf>
    <xf numFmtId="0" fontId="20" fillId="0" borderId="0" xfId="32" applyFont="1" applyFill="1" applyProtection="1"/>
    <xf numFmtId="0" fontId="26" fillId="0" borderId="0" xfId="0" applyFont="1"/>
    <xf numFmtId="0" fontId="1" fillId="25" borderId="0" xfId="0" applyFont="1" applyFill="1"/>
    <xf numFmtId="0" fontId="1" fillId="25" borderId="0" xfId="0" applyFont="1" applyFill="1" applyAlignment="1">
      <alignment horizontal="center"/>
    </xf>
    <xf numFmtId="0" fontId="1" fillId="0" borderId="0" xfId="0" applyFont="1"/>
    <xf numFmtId="0" fontId="3" fillId="0" borderId="0" xfId="32" applyFont="1" applyFill="1" applyProtection="1"/>
    <xf numFmtId="1" fontId="3" fillId="0" borderId="0" xfId="32" applyNumberFormat="1" applyFont="1" applyFill="1" applyAlignment="1" applyProtection="1">
      <alignment horizontal="center"/>
    </xf>
    <xf numFmtId="1" fontId="3" fillId="0" borderId="0" xfId="32" applyNumberFormat="1" applyFont="1" applyFill="1" applyAlignment="1" applyProtection="1">
      <alignment horizontal="right"/>
    </xf>
    <xf numFmtId="0" fontId="27" fillId="0" borderId="0" xfId="32" applyFont="1" applyFill="1" applyAlignment="1" applyProtection="1"/>
    <xf numFmtId="0" fontId="28" fillId="0" borderId="0" xfId="32" applyFont="1" applyFill="1" applyAlignment="1" applyProtection="1">
      <alignment horizontal="left"/>
    </xf>
    <xf numFmtId="0" fontId="28" fillId="0" borderId="0" xfId="32" applyFont="1" applyFill="1" applyAlignment="1" applyProtection="1"/>
    <xf numFmtId="0" fontId="24" fillId="0" borderId="0" xfId="32" applyFont="1" applyFill="1" applyAlignment="1" applyProtection="1">
      <alignment horizontal="center"/>
    </xf>
    <xf numFmtId="0" fontId="25" fillId="0" borderId="0" xfId="32" applyFont="1" applyFill="1" applyAlignment="1" applyProtection="1">
      <alignment horizontal="center"/>
    </xf>
    <xf numFmtId="0" fontId="3" fillId="0" borderId="0" xfId="32" applyFont="1" applyProtection="1"/>
    <xf numFmtId="1" fontId="3" fillId="0" borderId="0" xfId="32" applyNumberFormat="1" applyFont="1" applyFill="1" applyAlignment="1" applyProtection="1"/>
    <xf numFmtId="1" fontId="3" fillId="0" borderId="0" xfId="32" applyNumberFormat="1" applyFont="1" applyFill="1" applyProtection="1"/>
    <xf numFmtId="0" fontId="3" fillId="0" borderId="0" xfId="32" applyFont="1" applyFill="1" applyAlignment="1" applyProtection="1">
      <alignment horizontal="center"/>
    </xf>
    <xf numFmtId="0" fontId="23" fillId="25" borderId="0" xfId="0" applyFont="1" applyFill="1" applyAlignment="1">
      <alignment horizontal="center"/>
    </xf>
    <xf numFmtId="0" fontId="0" fillId="25" borderId="0" xfId="0" applyFill="1"/>
    <xf numFmtId="0" fontId="0" fillId="26" borderId="0" xfId="0" applyFill="1"/>
    <xf numFmtId="0" fontId="3" fillId="0" borderId="0" xfId="32" quotePrefix="1" applyFill="1" applyProtection="1"/>
    <xf numFmtId="0" fontId="3" fillId="0" borderId="0" xfId="32" quotePrefix="1" applyFont="1" applyFill="1" applyProtection="1"/>
    <xf numFmtId="0" fontId="30" fillId="0" borderId="0" xfId="32" applyFont="1" applyFill="1" applyProtection="1"/>
    <xf numFmtId="0" fontId="1" fillId="0" borderId="0" xfId="0" applyFont="1" applyBorder="1"/>
    <xf numFmtId="1" fontId="17" fillId="0" borderId="0" xfId="32" applyNumberFormat="1" applyFont="1" applyFill="1" applyAlignment="1" applyProtection="1">
      <alignment horizontal="center"/>
    </xf>
    <xf numFmtId="1" fontId="17" fillId="0" borderId="0" xfId="32" applyNumberFormat="1" applyFont="1" applyFill="1" applyProtection="1"/>
    <xf numFmtId="1" fontId="17" fillId="0" borderId="0" xfId="32" applyNumberFormat="1" applyFont="1" applyFill="1" applyAlignment="1" applyProtection="1">
      <alignment horizontal="left"/>
    </xf>
    <xf numFmtId="1" fontId="17" fillId="0" borderId="0" xfId="32" applyNumberFormat="1" applyFont="1" applyFill="1" applyAlignment="1" applyProtection="1"/>
    <xf numFmtId="0" fontId="22" fillId="0" borderId="0" xfId="32" applyFont="1" applyFill="1" applyAlignment="1" applyProtection="1">
      <alignment horizontal="center"/>
    </xf>
    <xf numFmtId="0" fontId="28" fillId="0" borderId="0" xfId="32" applyFont="1" applyFill="1" applyAlignment="1" applyProtection="1">
      <alignment horizontal="center"/>
    </xf>
    <xf numFmtId="0" fontId="3" fillId="0" borderId="0" xfId="32" applyFont="1" applyFill="1" applyAlignment="1" applyProtection="1">
      <alignment horizontal="left"/>
    </xf>
    <xf numFmtId="0" fontId="29" fillId="0" borderId="0" xfId="32" applyFont="1" applyFill="1" applyAlignment="1" applyProtection="1"/>
    <xf numFmtId="0" fontId="3" fillId="0" borderId="0" xfId="32" applyFont="1" applyFill="1" applyAlignment="1" applyProtection="1"/>
    <xf numFmtId="0" fontId="31" fillId="0" borderId="0" xfId="32" applyFont="1" applyFill="1" applyAlignment="1" applyProtection="1"/>
    <xf numFmtId="0" fontId="32" fillId="0" borderId="0" xfId="32" applyFont="1" applyFill="1" applyProtection="1"/>
    <xf numFmtId="0" fontId="23" fillId="26" borderId="0" xfId="0" applyFont="1" applyFill="1"/>
    <xf numFmtId="0" fontId="3" fillId="0" borderId="0" xfId="32" applyFont="1" applyFill="1" applyAlignment="1" applyProtection="1">
      <alignment horizontal="left"/>
    </xf>
    <xf numFmtId="0" fontId="33" fillId="0" borderId="0" xfId="32" quotePrefix="1" applyFont="1" applyFill="1" applyProtection="1"/>
    <xf numFmtId="1" fontId="0" fillId="26" borderId="0" xfId="0" applyNumberFormat="1" applyFill="1"/>
    <xf numFmtId="1" fontId="3" fillId="0" borderId="0" xfId="32" applyNumberFormat="1" applyFill="1" applyAlignment="1" applyProtection="1">
      <alignment horizontal="center"/>
    </xf>
    <xf numFmtId="1" fontId="3" fillId="0" borderId="0" xfId="32" applyNumberFormat="1" applyFont="1" applyFill="1" applyAlignment="1" applyProtection="1">
      <alignment horizontal="left"/>
    </xf>
    <xf numFmtId="0" fontId="34" fillId="0" borderId="0" xfId="0" applyFont="1"/>
    <xf numFmtId="0" fontId="23" fillId="25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1" fillId="26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1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35" fillId="0" borderId="0" xfId="0" applyFont="1"/>
    <xf numFmtId="0" fontId="36" fillId="0" borderId="0" xfId="32" applyFont="1" applyFill="1" applyAlignment="1" applyProtection="1"/>
    <xf numFmtId="0" fontId="36" fillId="0" borderId="0" xfId="32" applyFont="1" applyFill="1" applyAlignment="1" applyProtection="1">
      <alignment horizontal="center"/>
    </xf>
    <xf numFmtId="0" fontId="37" fillId="0" borderId="0" xfId="0" applyFont="1"/>
    <xf numFmtId="0" fontId="39" fillId="0" borderId="0" xfId="0" applyFont="1" applyAlignment="1">
      <alignment horizontal="left"/>
    </xf>
    <xf numFmtId="0" fontId="39" fillId="0" borderId="0" xfId="0" applyFont="1"/>
    <xf numFmtId="0" fontId="0" fillId="0" borderId="0" xfId="0" applyAlignment="1">
      <alignment horizontal="left"/>
    </xf>
    <xf numFmtId="0" fontId="0" fillId="25" borderId="0" xfId="0" applyFill="1" applyAlignment="1">
      <alignment horizontal="right"/>
    </xf>
    <xf numFmtId="1" fontId="23" fillId="0" borderId="0" xfId="0" applyNumberFormat="1" applyFont="1"/>
    <xf numFmtId="17" fontId="23" fillId="26" borderId="0" xfId="0" applyNumberFormat="1" applyFont="1" applyFill="1"/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0" fillId="0" borderId="0" xfId="0" applyAlignment="1"/>
    <xf numFmtId="0" fontId="0" fillId="25" borderId="0" xfId="0" applyFill="1" applyAlignment="1"/>
    <xf numFmtId="0" fontId="23" fillId="25" borderId="0" xfId="0" applyFont="1" applyFill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23" fillId="25" borderId="0" xfId="0" applyFont="1" applyFill="1" applyAlignment="1">
      <alignment horizontal="center"/>
    </xf>
    <xf numFmtId="0" fontId="0" fillId="0" borderId="0" xfId="0" applyBorder="1" applyAlignment="1">
      <alignment vertical="center"/>
    </xf>
    <xf numFmtId="0" fontId="41" fillId="0" borderId="0" xfId="0" applyFont="1" applyBorder="1" applyAlignment="1">
      <alignment vertical="center"/>
    </xf>
    <xf numFmtId="0" fontId="41" fillId="0" borderId="0" xfId="0" applyFont="1" applyFill="1" applyBorder="1" applyAlignment="1">
      <alignment horizontal="left" vertical="center" wrapText="1"/>
    </xf>
    <xf numFmtId="0" fontId="21" fillId="0" borderId="0" xfId="32" applyFont="1" applyFill="1" applyAlignment="1" applyProtection="1">
      <alignment horizontal="center"/>
    </xf>
    <xf numFmtId="1" fontId="3" fillId="0" borderId="0" xfId="32" applyNumberFormat="1" applyFill="1" applyAlignment="1" applyProtection="1">
      <alignment horizontal="right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42" fillId="0" borderId="0" xfId="0" applyFont="1" applyBorder="1"/>
    <xf numFmtId="164" fontId="42" fillId="0" borderId="0" xfId="0" applyNumberFormat="1" applyFont="1" applyFill="1" applyBorder="1" applyAlignment="1">
      <alignment horizontal="left" vertical="center"/>
    </xf>
    <xf numFmtId="0" fontId="42" fillId="0" borderId="0" xfId="0" applyNumberFormat="1" applyFont="1" applyFill="1" applyBorder="1" applyAlignment="1">
      <alignment horizontal="left" vertical="center"/>
    </xf>
    <xf numFmtId="16" fontId="42" fillId="0" borderId="0" xfId="0" applyNumberFormat="1" applyFont="1" applyFill="1" applyBorder="1" applyAlignment="1">
      <alignment horizontal="left" vertic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42" fillId="26" borderId="0" xfId="0" applyFont="1" applyFill="1" applyBorder="1" applyAlignment="1">
      <alignment wrapText="1"/>
    </xf>
    <xf numFmtId="0" fontId="42" fillId="0" borderId="0" xfId="0" applyFont="1" applyBorder="1" applyAlignment="1">
      <alignment wrapText="1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42" fillId="0" borderId="0" xfId="0" applyFont="1" applyFill="1" applyBorder="1"/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31" fillId="0" borderId="0" xfId="32" applyFont="1" applyFill="1" applyAlignment="1" applyProtection="1">
      <alignment horizontal="left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0" fillId="26" borderId="0" xfId="0" applyFill="1" applyAlignment="1">
      <alignment horizontal="left"/>
    </xf>
    <xf numFmtId="0" fontId="23" fillId="26" borderId="0" xfId="0" applyFont="1" applyFill="1" applyAlignment="1">
      <alignment horizontal="left"/>
    </xf>
    <xf numFmtId="0" fontId="42" fillId="26" borderId="0" xfId="0" applyFont="1" applyFill="1" applyBorder="1"/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>
      <alignment horizontal="left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0" fillId="0" borderId="0" xfId="0" applyFont="1" applyFill="1" applyBorder="1"/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2" fillId="0" borderId="0" xfId="32" applyFont="1" applyFill="1" applyAlignment="1" applyProtection="1">
      <alignment horizontal="center"/>
    </xf>
    <xf numFmtId="0" fontId="23" fillId="0" borderId="0" xfId="0" applyFont="1" applyAlignment="1"/>
    <xf numFmtId="0" fontId="27" fillId="0" borderId="0" xfId="32" applyFont="1" applyFill="1" applyAlignment="1" applyProtection="1">
      <alignment horizontal="center"/>
    </xf>
    <xf numFmtId="0" fontId="22" fillId="0" borderId="0" xfId="32" applyFont="1" applyFill="1" applyAlignment="1" applyProtection="1">
      <alignment horizontal="center"/>
    </xf>
    <xf numFmtId="0" fontId="21" fillId="0" borderId="0" xfId="32" applyFont="1" applyFill="1" applyAlignment="1" applyProtection="1">
      <alignment horizontal="center"/>
    </xf>
    <xf numFmtId="0" fontId="28" fillId="0" borderId="0" xfId="32" applyFont="1" applyFill="1" applyAlignment="1" applyProtection="1">
      <alignment horizontal="center"/>
    </xf>
    <xf numFmtId="1" fontId="3" fillId="0" borderId="0" xfId="32" applyNumberFormat="1" applyFill="1" applyAlignment="1" applyProtection="1">
      <alignment horizontal="center"/>
    </xf>
    <xf numFmtId="0" fontId="22" fillId="0" borderId="0" xfId="32" applyFont="1" applyFill="1" applyAlignment="1" applyProtection="1">
      <alignment horizontal="left"/>
    </xf>
    <xf numFmtId="0" fontId="1" fillId="25" borderId="0" xfId="0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0" fontId="28" fillId="0" borderId="0" xfId="32" applyFont="1" applyFill="1" applyAlignment="1" applyProtection="1">
      <alignment horizontal="left"/>
    </xf>
    <xf numFmtId="0" fontId="3" fillId="0" borderId="0" xfId="32" applyFont="1" applyFill="1" applyAlignment="1" applyProtection="1">
      <alignment horizontal="left"/>
    </xf>
  </cellXfs>
  <cellStyles count="41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rmal_RECIBO PERSONAL" xfId="32"/>
    <cellStyle name="Notas" xfId="33" builtinId="10" customBuiltin="1"/>
    <cellStyle name="Salida" xfId="34" builtinId="21" customBuiltin="1"/>
    <cellStyle name="Texto de advertencia" xfId="35" builtinId="11" customBuiltin="1"/>
    <cellStyle name="Texto explicativo" xfId="36" builtinId="53" customBuiltin="1"/>
    <cellStyle name="Título" xfId="37" builtinId="15" customBuiltin="1"/>
    <cellStyle name="Título 2" xfId="38" builtinId="17" customBuiltin="1"/>
    <cellStyle name="Título 3" xfId="39" builtinId="18" customBuiltin="1"/>
    <cellStyle name="Total" xfId="40" builtinId="25" customBuiltin="1"/>
  </cellStyles>
  <dxfs count="1"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ERTIFICADOS%20%20PARROQUIA%20MODIFICADOS%20202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TRIMONIO"/>
      <sheetName val="IMPRESION-MATRIMONIO"/>
      <sheetName val="1ra.COMUNION"/>
      <sheetName val="IMPRESION-COMUNION"/>
      <sheetName val="CONFIRMACION"/>
      <sheetName val="IMPRESION-CONFIRMACION"/>
      <sheetName val="CONSTANCIA.BAUTISMO"/>
      <sheetName val="IMPRESION-CONSTANCIA DEBAUTISMO"/>
      <sheetName val="CATECUMENOS 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A7">
            <v>1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5" tint="-0.249977111117893"/>
  </sheetPr>
  <dimension ref="A3:W673"/>
  <sheetViews>
    <sheetView topLeftCell="I7" workbookViewId="0">
      <selection activeCell="N29" sqref="N29"/>
    </sheetView>
  </sheetViews>
  <sheetFormatPr baseColWidth="10" defaultRowHeight="12.75"/>
  <cols>
    <col min="1" max="1" width="5.28515625" customWidth="1"/>
    <col min="2" max="2" width="47" customWidth="1"/>
    <col min="3" max="3" width="5.42578125" customWidth="1"/>
    <col min="4" max="4" width="15.7109375" customWidth="1"/>
    <col min="5" max="5" width="8.7109375" customWidth="1"/>
    <col min="6" max="6" width="44.5703125" bestFit="1" customWidth="1"/>
    <col min="7" max="7" width="43.28515625" customWidth="1"/>
    <col min="8" max="8" width="42.140625" customWidth="1"/>
    <col min="9" max="9" width="43.28515625" customWidth="1"/>
    <col min="10" max="10" width="41.28515625" customWidth="1"/>
    <col min="11" max="11" width="44.5703125" customWidth="1"/>
    <col min="15" max="15" width="21.7109375" customWidth="1"/>
    <col min="21" max="21" width="11.42578125" customWidth="1"/>
    <col min="22" max="23" width="11.42578125" hidden="1" customWidth="1"/>
    <col min="24" max="25" width="11.42578125" customWidth="1"/>
  </cols>
  <sheetData>
    <row r="3" spans="1:23" ht="20.25">
      <c r="B3" s="21" t="s">
        <v>3702</v>
      </c>
    </row>
    <row r="4" spans="1:23">
      <c r="B4" s="10" t="s">
        <v>8</v>
      </c>
      <c r="C4" s="11" t="s">
        <v>10</v>
      </c>
      <c r="D4" s="11" t="s">
        <v>11</v>
      </c>
      <c r="E4" s="11" t="s">
        <v>12</v>
      </c>
      <c r="F4" s="2" t="s">
        <v>7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9</v>
      </c>
      <c r="L4" s="2" t="s">
        <v>0</v>
      </c>
      <c r="M4" s="2" t="s">
        <v>1</v>
      </c>
      <c r="N4" s="2" t="s">
        <v>2</v>
      </c>
      <c r="V4" t="s">
        <v>1317</v>
      </c>
      <c r="W4" t="s">
        <v>1318</v>
      </c>
    </row>
    <row r="5" spans="1:23">
      <c r="A5">
        <v>1</v>
      </c>
      <c r="B5" t="s">
        <v>103</v>
      </c>
      <c r="C5">
        <v>25</v>
      </c>
      <c r="D5" s="55" t="s">
        <v>15</v>
      </c>
      <c r="E5">
        <v>2023</v>
      </c>
      <c r="F5" t="s">
        <v>52</v>
      </c>
      <c r="G5" t="s">
        <v>104</v>
      </c>
      <c r="H5" t="s">
        <v>105</v>
      </c>
      <c r="I5" t="s">
        <v>106</v>
      </c>
      <c r="J5" t="s">
        <v>107</v>
      </c>
      <c r="K5" t="s">
        <v>1062</v>
      </c>
      <c r="L5" s="1">
        <v>1</v>
      </c>
      <c r="M5" s="1">
        <v>32</v>
      </c>
      <c r="N5" s="1">
        <v>63</v>
      </c>
      <c r="V5">
        <v>1</v>
      </c>
      <c r="W5" s="12" t="s">
        <v>13</v>
      </c>
    </row>
    <row r="6" spans="1:23">
      <c r="A6">
        <v>2</v>
      </c>
      <c r="B6" t="s">
        <v>655</v>
      </c>
      <c r="C6">
        <v>26</v>
      </c>
      <c r="D6" s="55" t="s">
        <v>17</v>
      </c>
      <c r="E6">
        <v>2023</v>
      </c>
      <c r="F6" t="s">
        <v>1146</v>
      </c>
      <c r="G6" t="s">
        <v>656</v>
      </c>
      <c r="H6" t="s">
        <v>657</v>
      </c>
      <c r="I6" t="s">
        <v>658</v>
      </c>
      <c r="J6" t="s">
        <v>659</v>
      </c>
      <c r="K6" t="s">
        <v>1062</v>
      </c>
      <c r="L6" s="1">
        <v>1</v>
      </c>
      <c r="M6" s="1">
        <v>32</v>
      </c>
      <c r="N6" s="1">
        <v>64</v>
      </c>
      <c r="V6">
        <v>2</v>
      </c>
      <c r="W6" s="12" t="s">
        <v>14</v>
      </c>
    </row>
    <row r="7" spans="1:23">
      <c r="A7">
        <v>3</v>
      </c>
      <c r="B7" t="s">
        <v>1142</v>
      </c>
      <c r="C7">
        <v>5</v>
      </c>
      <c r="D7" s="55" t="s">
        <v>20</v>
      </c>
      <c r="E7">
        <v>2023</v>
      </c>
      <c r="F7" t="s">
        <v>52</v>
      </c>
      <c r="G7" t="s">
        <v>1147</v>
      </c>
      <c r="H7" t="s">
        <v>1148</v>
      </c>
      <c r="I7" t="s">
        <v>1149</v>
      </c>
      <c r="J7" t="s">
        <v>1144</v>
      </c>
      <c r="K7" t="s">
        <v>1062</v>
      </c>
      <c r="L7" s="1">
        <v>1</v>
      </c>
      <c r="M7" s="1">
        <v>33</v>
      </c>
      <c r="N7" s="1">
        <v>65</v>
      </c>
      <c r="V7">
        <v>3</v>
      </c>
      <c r="W7" s="12" t="s">
        <v>15</v>
      </c>
    </row>
    <row r="8" spans="1:23" ht="15.75">
      <c r="A8">
        <v>4</v>
      </c>
      <c r="B8" s="12" t="s">
        <v>1194</v>
      </c>
      <c r="C8">
        <v>14</v>
      </c>
      <c r="D8" s="55" t="s">
        <v>21</v>
      </c>
      <c r="E8">
        <v>2023</v>
      </c>
      <c r="F8" s="12" t="s">
        <v>52</v>
      </c>
      <c r="G8" s="75" t="s">
        <v>1195</v>
      </c>
      <c r="H8" s="75" t="s">
        <v>1196</v>
      </c>
      <c r="I8" s="75" t="s">
        <v>1198</v>
      </c>
      <c r="J8" s="75" t="s">
        <v>1197</v>
      </c>
      <c r="K8" s="12" t="s">
        <v>1062</v>
      </c>
      <c r="L8" s="1">
        <v>1</v>
      </c>
      <c r="M8" s="1">
        <v>33</v>
      </c>
      <c r="N8" s="1">
        <v>66</v>
      </c>
      <c r="V8">
        <v>4</v>
      </c>
      <c r="W8" s="12" t="s">
        <v>16</v>
      </c>
    </row>
    <row r="9" spans="1:23">
      <c r="A9">
        <v>5</v>
      </c>
      <c r="B9" s="12" t="s">
        <v>1202</v>
      </c>
      <c r="C9">
        <v>28</v>
      </c>
      <c r="D9" s="55" t="s">
        <v>21</v>
      </c>
      <c r="E9">
        <v>2023</v>
      </c>
      <c r="F9" s="12" t="s">
        <v>1204</v>
      </c>
      <c r="G9" s="12" t="s">
        <v>1203</v>
      </c>
      <c r="H9" s="12" t="s">
        <v>1199</v>
      </c>
      <c r="I9" s="12" t="s">
        <v>1200</v>
      </c>
      <c r="J9" s="12" t="s">
        <v>1201</v>
      </c>
      <c r="K9" s="12" t="s">
        <v>1062</v>
      </c>
      <c r="L9" s="1">
        <v>1</v>
      </c>
      <c r="M9" s="1">
        <v>34</v>
      </c>
      <c r="N9" s="1">
        <v>67</v>
      </c>
      <c r="V9">
        <v>5</v>
      </c>
      <c r="W9" s="12" t="s">
        <v>17</v>
      </c>
    </row>
    <row r="10" spans="1:23">
      <c r="A10">
        <v>6</v>
      </c>
      <c r="B10" s="12" t="s">
        <v>1214</v>
      </c>
      <c r="C10">
        <v>25</v>
      </c>
      <c r="D10" s="55" t="s">
        <v>22</v>
      </c>
      <c r="E10">
        <v>2023</v>
      </c>
      <c r="F10" s="12" t="s">
        <v>1215</v>
      </c>
      <c r="G10" s="12" t="s">
        <v>1216</v>
      </c>
      <c r="H10" s="12" t="s">
        <v>1217</v>
      </c>
      <c r="I10" s="12" t="s">
        <v>1218</v>
      </c>
      <c r="J10" s="12" t="s">
        <v>1219</v>
      </c>
      <c r="K10" t="s">
        <v>1062</v>
      </c>
      <c r="L10" s="1">
        <v>1</v>
      </c>
      <c r="M10" s="1">
        <v>34</v>
      </c>
      <c r="N10" s="1">
        <v>68</v>
      </c>
      <c r="V10">
        <v>6</v>
      </c>
      <c r="W10" s="12" t="s">
        <v>18</v>
      </c>
    </row>
    <row r="11" spans="1:23" ht="20.25">
      <c r="B11" s="21" t="s">
        <v>3703</v>
      </c>
    </row>
    <row r="12" spans="1:23">
      <c r="A12">
        <v>7</v>
      </c>
      <c r="B12" s="12" t="s">
        <v>1296</v>
      </c>
      <c r="C12">
        <v>19</v>
      </c>
      <c r="D12" s="55" t="s">
        <v>16</v>
      </c>
      <c r="E12">
        <v>2024</v>
      </c>
      <c r="F12" s="12" t="s">
        <v>52</v>
      </c>
      <c r="G12" s="12" t="s">
        <v>1314</v>
      </c>
      <c r="H12" s="12" t="s">
        <v>1313</v>
      </c>
      <c r="I12" s="12" t="s">
        <v>1315</v>
      </c>
      <c r="J12" s="12" t="s">
        <v>1316</v>
      </c>
      <c r="K12" t="s">
        <v>1062</v>
      </c>
      <c r="L12" s="1">
        <v>1</v>
      </c>
      <c r="M12" s="1">
        <v>35</v>
      </c>
      <c r="N12" s="1">
        <v>69</v>
      </c>
      <c r="V12">
        <v>7</v>
      </c>
      <c r="W12" s="12" t="s">
        <v>19</v>
      </c>
    </row>
    <row r="13" spans="1:23">
      <c r="A13">
        <v>8</v>
      </c>
      <c r="B13" s="12" t="s">
        <v>1297</v>
      </c>
      <c r="C13">
        <v>20</v>
      </c>
      <c r="D13" s="55" t="s">
        <v>16</v>
      </c>
      <c r="E13">
        <v>2024</v>
      </c>
      <c r="F13" s="12" t="s">
        <v>52</v>
      </c>
      <c r="G13" t="s">
        <v>1309</v>
      </c>
      <c r="H13" t="s">
        <v>1310</v>
      </c>
      <c r="I13" t="s">
        <v>1311</v>
      </c>
      <c r="J13" t="s">
        <v>1312</v>
      </c>
      <c r="K13" t="s">
        <v>1062</v>
      </c>
      <c r="L13" s="1">
        <v>1</v>
      </c>
      <c r="M13" s="1">
        <v>35</v>
      </c>
      <c r="N13" s="1">
        <v>70</v>
      </c>
      <c r="V13">
        <v>8</v>
      </c>
      <c r="W13" s="12" t="s">
        <v>20</v>
      </c>
    </row>
    <row r="14" spans="1:23">
      <c r="A14">
        <v>9</v>
      </c>
      <c r="B14" s="12" t="s">
        <v>1298</v>
      </c>
      <c r="C14">
        <v>27</v>
      </c>
      <c r="D14" s="55" t="s">
        <v>16</v>
      </c>
      <c r="E14">
        <v>2024</v>
      </c>
      <c r="F14" s="12" t="s">
        <v>52</v>
      </c>
      <c r="G14" t="s">
        <v>1299</v>
      </c>
      <c r="H14" t="s">
        <v>1300</v>
      </c>
      <c r="I14" t="s">
        <v>1301</v>
      </c>
      <c r="J14" t="s">
        <v>1302</v>
      </c>
      <c r="K14" t="s">
        <v>1062</v>
      </c>
      <c r="L14" s="1">
        <v>1</v>
      </c>
      <c r="M14" s="1">
        <v>36</v>
      </c>
      <c r="N14" s="1">
        <v>71</v>
      </c>
      <c r="V14">
        <v>9</v>
      </c>
      <c r="W14" s="12" t="s">
        <v>1145</v>
      </c>
    </row>
    <row r="15" spans="1:23">
      <c r="A15">
        <v>10</v>
      </c>
      <c r="B15" s="12" t="s">
        <v>2384</v>
      </c>
      <c r="C15">
        <v>27</v>
      </c>
      <c r="D15" s="55" t="s">
        <v>1145</v>
      </c>
      <c r="E15">
        <v>2024</v>
      </c>
      <c r="F15" s="12" t="s">
        <v>52</v>
      </c>
      <c r="G15" s="12" t="s">
        <v>2385</v>
      </c>
      <c r="H15" s="12" t="s">
        <v>2386</v>
      </c>
      <c r="I15" s="12" t="s">
        <v>2387</v>
      </c>
      <c r="J15" s="12" t="s">
        <v>2388</v>
      </c>
      <c r="K15" t="s">
        <v>1062</v>
      </c>
      <c r="L15" s="1">
        <v>1</v>
      </c>
      <c r="M15" s="1">
        <v>36</v>
      </c>
      <c r="N15" s="1">
        <v>72</v>
      </c>
      <c r="V15">
        <v>10</v>
      </c>
      <c r="W15" s="12" t="s">
        <v>21</v>
      </c>
    </row>
    <row r="16" spans="1:23">
      <c r="A16">
        <v>11</v>
      </c>
      <c r="B16" s="12" t="s">
        <v>2390</v>
      </c>
      <c r="C16">
        <v>20</v>
      </c>
      <c r="D16" s="55" t="s">
        <v>21</v>
      </c>
      <c r="E16">
        <v>2024</v>
      </c>
      <c r="F16" s="12" t="s">
        <v>52</v>
      </c>
      <c r="G16" s="12" t="s">
        <v>2391</v>
      </c>
      <c r="H16" s="12" t="s">
        <v>2392</v>
      </c>
      <c r="I16" s="12" t="s">
        <v>2393</v>
      </c>
      <c r="J16" s="12" t="s">
        <v>2394</v>
      </c>
      <c r="K16" t="s">
        <v>1062</v>
      </c>
      <c r="L16" s="1">
        <v>1</v>
      </c>
      <c r="M16" s="1">
        <v>37</v>
      </c>
      <c r="N16" s="1">
        <v>73</v>
      </c>
      <c r="V16">
        <v>11</v>
      </c>
      <c r="W16" s="12" t="s">
        <v>22</v>
      </c>
    </row>
    <row r="17" spans="1:23">
      <c r="A17">
        <v>12</v>
      </c>
      <c r="B17" s="12" t="s">
        <v>2416</v>
      </c>
      <c r="C17">
        <v>8</v>
      </c>
      <c r="D17" s="55" t="s">
        <v>22</v>
      </c>
      <c r="E17">
        <v>2024</v>
      </c>
      <c r="F17" s="12" t="s">
        <v>52</v>
      </c>
      <c r="G17" s="12" t="s">
        <v>2417</v>
      </c>
      <c r="H17" s="12" t="s">
        <v>2418</v>
      </c>
      <c r="I17" s="12" t="s">
        <v>2419</v>
      </c>
      <c r="J17" s="12" t="s">
        <v>2420</v>
      </c>
      <c r="K17" t="s">
        <v>1062</v>
      </c>
      <c r="L17" s="1">
        <v>1</v>
      </c>
      <c r="M17" s="1">
        <v>37</v>
      </c>
      <c r="N17" s="1">
        <v>74</v>
      </c>
      <c r="V17">
        <v>12</v>
      </c>
      <c r="W17" s="12" t="s">
        <v>23</v>
      </c>
    </row>
    <row r="18" spans="1:23">
      <c r="A18">
        <v>13</v>
      </c>
      <c r="B18" s="12" t="s">
        <v>2429</v>
      </c>
      <c r="C18">
        <v>30</v>
      </c>
      <c r="D18" s="55" t="s">
        <v>22</v>
      </c>
      <c r="E18">
        <v>2024</v>
      </c>
      <c r="F18" s="12" t="s">
        <v>52</v>
      </c>
      <c r="G18" s="12" t="s">
        <v>2430</v>
      </c>
      <c r="H18" s="12" t="s">
        <v>2431</v>
      </c>
      <c r="I18" s="12" t="s">
        <v>2432</v>
      </c>
      <c r="J18" s="12" t="s">
        <v>2433</v>
      </c>
      <c r="K18" t="s">
        <v>1062</v>
      </c>
      <c r="L18" s="1">
        <v>1</v>
      </c>
      <c r="M18" s="1">
        <v>38</v>
      </c>
      <c r="N18" s="1">
        <v>75</v>
      </c>
      <c r="V18">
        <v>13</v>
      </c>
    </row>
    <row r="19" spans="1:23">
      <c r="A19">
        <v>14</v>
      </c>
      <c r="B19" s="12" t="s">
        <v>2444</v>
      </c>
      <c r="C19">
        <v>7</v>
      </c>
      <c r="D19" s="55" t="s">
        <v>23</v>
      </c>
      <c r="E19">
        <v>2024</v>
      </c>
      <c r="F19" s="12" t="s">
        <v>52</v>
      </c>
      <c r="G19" s="12" t="s">
        <v>2446</v>
      </c>
      <c r="H19" s="12" t="s">
        <v>2449</v>
      </c>
      <c r="I19" s="12" t="s">
        <v>2447</v>
      </c>
      <c r="J19" s="12" t="s">
        <v>2448</v>
      </c>
      <c r="K19" t="s">
        <v>1062</v>
      </c>
      <c r="L19" s="1">
        <v>1</v>
      </c>
      <c r="M19" s="1">
        <v>38</v>
      </c>
      <c r="N19" s="1">
        <v>76</v>
      </c>
      <c r="V19">
        <v>14</v>
      </c>
    </row>
    <row r="20" spans="1:23" ht="20.25">
      <c r="B20" s="21" t="s">
        <v>3704</v>
      </c>
    </row>
    <row r="21" spans="1:23">
      <c r="A21">
        <v>15</v>
      </c>
      <c r="B21" s="12" t="s">
        <v>2481</v>
      </c>
      <c r="C21">
        <v>19</v>
      </c>
      <c r="D21" s="55" t="s">
        <v>14</v>
      </c>
      <c r="E21">
        <v>2025</v>
      </c>
      <c r="F21" s="12" t="s">
        <v>52</v>
      </c>
      <c r="G21" s="12" t="s">
        <v>2482</v>
      </c>
      <c r="H21" s="12" t="s">
        <v>2130</v>
      </c>
      <c r="I21" s="12" t="s">
        <v>2483</v>
      </c>
      <c r="J21" s="12" t="s">
        <v>2484</v>
      </c>
      <c r="K21" t="s">
        <v>1062</v>
      </c>
      <c r="L21" s="1">
        <v>1</v>
      </c>
      <c r="M21" s="1">
        <v>39</v>
      </c>
      <c r="N21" s="1">
        <v>77</v>
      </c>
      <c r="V21">
        <v>15</v>
      </c>
    </row>
    <row r="22" spans="1:23">
      <c r="A22">
        <v>16</v>
      </c>
      <c r="B22" s="12" t="s">
        <v>2495</v>
      </c>
      <c r="C22">
        <v>8</v>
      </c>
      <c r="D22" s="55" t="s">
        <v>15</v>
      </c>
      <c r="E22">
        <v>2025</v>
      </c>
      <c r="F22" s="12" t="s">
        <v>52</v>
      </c>
      <c r="G22" s="12" t="s">
        <v>806</v>
      </c>
      <c r="H22" s="12" t="s">
        <v>829</v>
      </c>
      <c r="I22" s="12" t="s">
        <v>2496</v>
      </c>
      <c r="J22" s="12" t="s">
        <v>2497</v>
      </c>
      <c r="K22" t="s">
        <v>1062</v>
      </c>
      <c r="L22" s="1">
        <v>1</v>
      </c>
      <c r="M22" s="1">
        <v>39</v>
      </c>
      <c r="N22" s="1">
        <v>78</v>
      </c>
      <c r="V22">
        <v>16</v>
      </c>
    </row>
    <row r="23" spans="1:23">
      <c r="A23">
        <v>17</v>
      </c>
      <c r="B23" s="12" t="s">
        <v>2608</v>
      </c>
      <c r="C23">
        <v>26</v>
      </c>
      <c r="D23" s="55" t="s">
        <v>16</v>
      </c>
      <c r="E23">
        <v>2025</v>
      </c>
      <c r="F23" s="12" t="s">
        <v>1215</v>
      </c>
      <c r="G23" s="12" t="s">
        <v>2609</v>
      </c>
      <c r="H23" s="12" t="s">
        <v>2610</v>
      </c>
      <c r="I23" s="12" t="s">
        <v>2611</v>
      </c>
      <c r="J23" s="12" t="s">
        <v>2612</v>
      </c>
      <c r="K23" t="s">
        <v>1062</v>
      </c>
      <c r="L23" s="1">
        <v>1</v>
      </c>
      <c r="M23" s="1">
        <v>40</v>
      </c>
      <c r="N23" s="1">
        <v>79</v>
      </c>
      <c r="V23">
        <v>17</v>
      </c>
    </row>
    <row r="24" spans="1:23">
      <c r="A24">
        <v>18</v>
      </c>
      <c r="B24" s="12" t="s">
        <v>3194</v>
      </c>
      <c r="C24">
        <v>6</v>
      </c>
      <c r="D24" s="55" t="s">
        <v>18</v>
      </c>
      <c r="E24">
        <v>2025</v>
      </c>
      <c r="F24" s="12" t="s">
        <v>52</v>
      </c>
      <c r="G24" s="12" t="s">
        <v>3195</v>
      </c>
      <c r="H24" s="12" t="s">
        <v>3196</v>
      </c>
      <c r="I24" s="12" t="s">
        <v>3197</v>
      </c>
      <c r="J24" s="12" t="s">
        <v>3198</v>
      </c>
      <c r="K24" t="s">
        <v>1062</v>
      </c>
      <c r="L24" s="1">
        <v>1</v>
      </c>
      <c r="M24" s="1">
        <v>40</v>
      </c>
      <c r="N24" s="1">
        <v>80</v>
      </c>
      <c r="V24">
        <v>18</v>
      </c>
    </row>
    <row r="25" spans="1:23">
      <c r="A25">
        <v>19</v>
      </c>
      <c r="B25" s="12" t="s">
        <v>3682</v>
      </c>
      <c r="C25">
        <v>19</v>
      </c>
      <c r="D25" s="55" t="s">
        <v>23</v>
      </c>
      <c r="E25">
        <v>2025</v>
      </c>
      <c r="F25" s="12" t="s">
        <v>52</v>
      </c>
      <c r="G25" s="12" t="s">
        <v>3683</v>
      </c>
      <c r="H25" s="12" t="s">
        <v>3684</v>
      </c>
      <c r="I25" s="12" t="s">
        <v>3243</v>
      </c>
      <c r="J25" s="12" t="s">
        <v>3685</v>
      </c>
      <c r="K25" t="s">
        <v>1062</v>
      </c>
      <c r="L25" s="1">
        <v>1</v>
      </c>
      <c r="M25" s="1">
        <v>41</v>
      </c>
      <c r="N25" s="1">
        <v>81</v>
      </c>
      <c r="V25">
        <v>19</v>
      </c>
    </row>
    <row r="26" spans="1:23">
      <c r="A26">
        <v>20</v>
      </c>
      <c r="B26" s="12" t="s">
        <v>3686</v>
      </c>
      <c r="C26">
        <v>27</v>
      </c>
      <c r="D26" s="55" t="s">
        <v>23</v>
      </c>
      <c r="E26">
        <v>2025</v>
      </c>
      <c r="F26" s="12" t="s">
        <v>52</v>
      </c>
      <c r="G26" s="12" t="s">
        <v>3687</v>
      </c>
      <c r="H26" s="12" t="s">
        <v>3688</v>
      </c>
      <c r="I26" s="12" t="s">
        <v>3689</v>
      </c>
      <c r="J26" s="12" t="s">
        <v>3690</v>
      </c>
      <c r="K26" t="s">
        <v>1062</v>
      </c>
      <c r="L26" s="1">
        <v>1</v>
      </c>
      <c r="M26" s="1">
        <v>41</v>
      </c>
      <c r="N26" s="1">
        <v>82</v>
      </c>
      <c r="V26">
        <v>20</v>
      </c>
    </row>
    <row r="27" spans="1:23" ht="20.25">
      <c r="B27" s="21" t="s">
        <v>3705</v>
      </c>
    </row>
    <row r="28" spans="1:23">
      <c r="A28">
        <v>21</v>
      </c>
      <c r="B28" s="12" t="s">
        <v>3724</v>
      </c>
      <c r="C28">
        <v>18</v>
      </c>
      <c r="D28" s="55" t="s">
        <v>16</v>
      </c>
      <c r="E28">
        <v>2026</v>
      </c>
      <c r="F28" s="12" t="s">
        <v>52</v>
      </c>
      <c r="G28" s="12" t="s">
        <v>3725</v>
      </c>
      <c r="H28" s="12" t="s">
        <v>3726</v>
      </c>
      <c r="I28" s="12" t="s">
        <v>3727</v>
      </c>
      <c r="J28" s="12" t="s">
        <v>3728</v>
      </c>
      <c r="K28" t="s">
        <v>1062</v>
      </c>
      <c r="L28" s="1">
        <v>1</v>
      </c>
      <c r="M28" s="1">
        <v>42</v>
      </c>
      <c r="N28" s="1">
        <v>83</v>
      </c>
      <c r="V28">
        <v>22</v>
      </c>
    </row>
    <row r="29" spans="1:23">
      <c r="A29">
        <v>22</v>
      </c>
      <c r="K29" t="s">
        <v>1062</v>
      </c>
      <c r="L29" s="1">
        <v>1</v>
      </c>
      <c r="M29" s="1">
        <v>42</v>
      </c>
      <c r="N29" s="1">
        <v>84</v>
      </c>
      <c r="V29">
        <v>23</v>
      </c>
    </row>
    <row r="30" spans="1:23">
      <c r="A30">
        <v>23</v>
      </c>
      <c r="K30" t="s">
        <v>1062</v>
      </c>
      <c r="L30" s="1">
        <v>1</v>
      </c>
      <c r="M30" s="1">
        <v>43</v>
      </c>
      <c r="N30" s="1">
        <v>85</v>
      </c>
      <c r="V30">
        <v>24</v>
      </c>
    </row>
    <row r="31" spans="1:23">
      <c r="A31">
        <v>24</v>
      </c>
      <c r="K31" t="s">
        <v>1062</v>
      </c>
      <c r="L31" s="1">
        <v>1</v>
      </c>
      <c r="M31" s="1">
        <v>43</v>
      </c>
      <c r="N31" s="1">
        <v>86</v>
      </c>
      <c r="V31">
        <v>25</v>
      </c>
    </row>
    <row r="32" spans="1:23">
      <c r="A32">
        <v>25</v>
      </c>
      <c r="K32" t="s">
        <v>1062</v>
      </c>
      <c r="L32" s="1">
        <v>1</v>
      </c>
      <c r="M32" s="1">
        <v>44</v>
      </c>
      <c r="N32" s="1">
        <v>87</v>
      </c>
      <c r="V32">
        <v>26</v>
      </c>
    </row>
    <row r="33" spans="1:22">
      <c r="A33">
        <v>26</v>
      </c>
      <c r="K33" t="s">
        <v>1062</v>
      </c>
      <c r="L33" s="1">
        <v>1</v>
      </c>
      <c r="M33" s="1">
        <v>44</v>
      </c>
      <c r="N33" s="1">
        <v>88</v>
      </c>
      <c r="V33">
        <v>27</v>
      </c>
    </row>
    <row r="34" spans="1:22">
      <c r="A34">
        <v>27</v>
      </c>
      <c r="K34" t="s">
        <v>1062</v>
      </c>
      <c r="L34" s="1">
        <v>1</v>
      </c>
      <c r="M34" s="1">
        <v>45</v>
      </c>
      <c r="N34" s="1">
        <v>89</v>
      </c>
      <c r="V34">
        <v>28</v>
      </c>
    </row>
    <row r="35" spans="1:22">
      <c r="A35">
        <v>28</v>
      </c>
      <c r="L35" s="1"/>
      <c r="M35" s="1">
        <v>45</v>
      </c>
      <c r="N35" s="1">
        <v>90</v>
      </c>
      <c r="V35">
        <v>29</v>
      </c>
    </row>
    <row r="36" spans="1:22">
      <c r="A36">
        <v>29</v>
      </c>
      <c r="L36" s="1"/>
      <c r="M36" s="1"/>
      <c r="N36" s="1"/>
      <c r="V36">
        <v>30</v>
      </c>
    </row>
    <row r="37" spans="1:22">
      <c r="A37">
        <v>30</v>
      </c>
      <c r="L37" s="1"/>
      <c r="M37" s="1"/>
      <c r="N37" s="1"/>
      <c r="V37">
        <v>31</v>
      </c>
    </row>
    <row r="38" spans="1:22">
      <c r="A38">
        <v>31</v>
      </c>
      <c r="L38" s="1"/>
      <c r="M38" s="1"/>
      <c r="N38" s="1"/>
    </row>
    <row r="39" spans="1:22">
      <c r="A39">
        <v>32</v>
      </c>
      <c r="L39" s="1"/>
      <c r="M39" s="1"/>
      <c r="N39" s="1"/>
    </row>
    <row r="40" spans="1:22">
      <c r="A40">
        <v>33</v>
      </c>
      <c r="L40" s="1"/>
      <c r="M40" s="1"/>
      <c r="N40" s="1"/>
    </row>
    <row r="41" spans="1:22">
      <c r="A41">
        <v>34</v>
      </c>
      <c r="L41" s="1"/>
      <c r="M41" s="1"/>
      <c r="N41" s="1"/>
    </row>
    <row r="42" spans="1:22">
      <c r="A42">
        <v>35</v>
      </c>
      <c r="L42" s="1"/>
      <c r="M42" s="1"/>
      <c r="N42" s="1"/>
    </row>
    <row r="43" spans="1:22">
      <c r="A43">
        <v>36</v>
      </c>
      <c r="L43" s="1"/>
      <c r="M43" s="1"/>
      <c r="N43" s="1"/>
    </row>
    <row r="44" spans="1:22">
      <c r="A44">
        <v>37</v>
      </c>
      <c r="L44" s="1"/>
      <c r="M44" s="1"/>
      <c r="N44" s="1"/>
    </row>
    <row r="45" spans="1:22">
      <c r="A45">
        <v>38</v>
      </c>
      <c r="L45" s="1"/>
      <c r="M45" s="1"/>
      <c r="N45" s="1"/>
    </row>
    <row r="46" spans="1:22">
      <c r="A46">
        <v>39</v>
      </c>
      <c r="L46" s="1"/>
      <c r="M46" s="1"/>
      <c r="N46" s="1"/>
    </row>
    <row r="47" spans="1:22">
      <c r="A47">
        <v>40</v>
      </c>
      <c r="L47" s="1"/>
      <c r="M47" s="1"/>
      <c r="N47" s="1"/>
    </row>
    <row r="48" spans="1:22">
      <c r="A48">
        <v>41</v>
      </c>
      <c r="L48" s="1"/>
      <c r="M48" s="1"/>
      <c r="N48" s="1"/>
    </row>
    <row r="49" spans="1:14">
      <c r="A49">
        <v>42</v>
      </c>
      <c r="L49" s="1"/>
      <c r="M49" s="1"/>
      <c r="N49" s="1"/>
    </row>
    <row r="50" spans="1:14">
      <c r="L50" s="1"/>
      <c r="M50" s="1"/>
      <c r="N50" s="1"/>
    </row>
    <row r="51" spans="1:14">
      <c r="L51" s="1"/>
      <c r="M51" s="1"/>
      <c r="N51" s="1"/>
    </row>
    <row r="52" spans="1:14">
      <c r="L52" s="1"/>
      <c r="M52" s="1"/>
      <c r="N52" s="1"/>
    </row>
    <row r="53" spans="1:14">
      <c r="L53" s="1"/>
      <c r="M53" s="1"/>
      <c r="N53" s="1"/>
    </row>
    <row r="54" spans="1:14">
      <c r="L54" s="1"/>
      <c r="M54" s="1"/>
      <c r="N54" s="1"/>
    </row>
    <row r="55" spans="1:14">
      <c r="L55" s="1"/>
      <c r="M55" s="1"/>
      <c r="N55" s="1"/>
    </row>
    <row r="56" spans="1:14">
      <c r="L56" s="1"/>
      <c r="M56" s="1"/>
      <c r="N56" s="1"/>
    </row>
    <row r="57" spans="1:14">
      <c r="L57" s="1"/>
      <c r="M57" s="1"/>
      <c r="N57" s="1"/>
    </row>
    <row r="58" spans="1:14">
      <c r="L58" s="1"/>
      <c r="M58" s="1"/>
      <c r="N58" s="1"/>
    </row>
    <row r="59" spans="1:14">
      <c r="L59" s="1"/>
      <c r="M59" s="1"/>
      <c r="N59" s="1"/>
    </row>
    <row r="60" spans="1:14">
      <c r="L60" s="1"/>
      <c r="M60" s="1"/>
      <c r="N60" s="1"/>
    </row>
    <row r="61" spans="1:14">
      <c r="L61" s="1"/>
      <c r="M61" s="1"/>
      <c r="N61" s="1"/>
    </row>
    <row r="62" spans="1:14">
      <c r="L62" s="1"/>
      <c r="M62" s="1"/>
      <c r="N62" s="1"/>
    </row>
    <row r="63" spans="1:14">
      <c r="M63" s="1"/>
      <c r="N63" s="1"/>
    </row>
    <row r="204" spans="1:1">
      <c r="A204">
        <v>231</v>
      </c>
    </row>
    <row r="205" spans="1:1">
      <c r="A205">
        <v>232</v>
      </c>
    </row>
    <row r="206" spans="1:1">
      <c r="A206">
        <v>233</v>
      </c>
    </row>
    <row r="207" spans="1:1">
      <c r="A207">
        <v>234</v>
      </c>
    </row>
    <row r="208" spans="1:1">
      <c r="A208">
        <v>235</v>
      </c>
    </row>
    <row r="209" spans="1:1">
      <c r="A209">
        <v>236</v>
      </c>
    </row>
    <row r="210" spans="1:1">
      <c r="A210">
        <v>237</v>
      </c>
    </row>
    <row r="211" spans="1:1">
      <c r="A211">
        <v>238</v>
      </c>
    </row>
    <row r="212" spans="1:1">
      <c r="A212">
        <v>239</v>
      </c>
    </row>
    <row r="213" spans="1:1">
      <c r="A213">
        <v>240</v>
      </c>
    </row>
    <row r="214" spans="1:1">
      <c r="A214">
        <v>241</v>
      </c>
    </row>
    <row r="215" spans="1:1">
      <c r="A215">
        <v>242</v>
      </c>
    </row>
    <row r="216" spans="1:1">
      <c r="A216">
        <v>243</v>
      </c>
    </row>
    <row r="217" spans="1:1">
      <c r="A217">
        <v>244</v>
      </c>
    </row>
    <row r="218" spans="1:1">
      <c r="A218">
        <v>245</v>
      </c>
    </row>
    <row r="219" spans="1:1">
      <c r="A219">
        <v>246</v>
      </c>
    </row>
    <row r="220" spans="1:1">
      <c r="A220">
        <v>247</v>
      </c>
    </row>
    <row r="221" spans="1:1">
      <c r="A221">
        <v>248</v>
      </c>
    </row>
    <row r="222" spans="1:1">
      <c r="A222">
        <v>249</v>
      </c>
    </row>
    <row r="223" spans="1:1">
      <c r="A223">
        <v>250</v>
      </c>
    </row>
    <row r="224" spans="1:1">
      <c r="A224">
        <v>251</v>
      </c>
    </row>
    <row r="225" spans="1:1">
      <c r="A225">
        <v>252</v>
      </c>
    </row>
    <row r="226" spans="1:1">
      <c r="A226">
        <v>253</v>
      </c>
    </row>
    <row r="227" spans="1:1">
      <c r="A227">
        <v>254</v>
      </c>
    </row>
    <row r="228" spans="1:1">
      <c r="A228">
        <v>255</v>
      </c>
    </row>
    <row r="229" spans="1:1">
      <c r="A229">
        <v>256</v>
      </c>
    </row>
    <row r="230" spans="1:1">
      <c r="A230">
        <v>257</v>
      </c>
    </row>
    <row r="231" spans="1:1">
      <c r="A231">
        <v>258</v>
      </c>
    </row>
    <row r="232" spans="1:1">
      <c r="A232">
        <v>259</v>
      </c>
    </row>
    <row r="233" spans="1:1">
      <c r="A233">
        <v>260</v>
      </c>
    </row>
    <row r="234" spans="1:1">
      <c r="A234">
        <v>261</v>
      </c>
    </row>
    <row r="235" spans="1:1">
      <c r="A235">
        <v>262</v>
      </c>
    </row>
    <row r="236" spans="1:1">
      <c r="A236">
        <v>263</v>
      </c>
    </row>
    <row r="237" spans="1:1">
      <c r="A237">
        <v>264</v>
      </c>
    </row>
    <row r="238" spans="1:1">
      <c r="A238">
        <v>265</v>
      </c>
    </row>
    <row r="239" spans="1:1">
      <c r="A239">
        <v>266</v>
      </c>
    </row>
    <row r="240" spans="1:1">
      <c r="A240">
        <v>267</v>
      </c>
    </row>
    <row r="241" spans="1:1">
      <c r="A241">
        <v>268</v>
      </c>
    </row>
    <row r="242" spans="1:1">
      <c r="A242">
        <v>269</v>
      </c>
    </row>
    <row r="243" spans="1:1">
      <c r="A243">
        <v>270</v>
      </c>
    </row>
    <row r="244" spans="1:1">
      <c r="A244">
        <v>271</v>
      </c>
    </row>
    <row r="245" spans="1:1">
      <c r="A245">
        <v>272</v>
      </c>
    </row>
    <row r="246" spans="1:1">
      <c r="A246">
        <v>273</v>
      </c>
    </row>
    <row r="247" spans="1:1">
      <c r="A247">
        <v>274</v>
      </c>
    </row>
    <row r="248" spans="1:1">
      <c r="A248">
        <v>275</v>
      </c>
    </row>
    <row r="249" spans="1:1">
      <c r="A249">
        <v>276</v>
      </c>
    </row>
    <row r="250" spans="1:1">
      <c r="A250">
        <v>277</v>
      </c>
    </row>
    <row r="251" spans="1:1">
      <c r="A251">
        <v>278</v>
      </c>
    </row>
    <row r="252" spans="1:1">
      <c r="A252">
        <v>279</v>
      </c>
    </row>
    <row r="253" spans="1:1">
      <c r="A253">
        <v>280</v>
      </c>
    </row>
    <row r="254" spans="1:1">
      <c r="A254">
        <v>281</v>
      </c>
    </row>
    <row r="255" spans="1:1">
      <c r="A255">
        <v>282</v>
      </c>
    </row>
    <row r="256" spans="1:1">
      <c r="A256">
        <v>283</v>
      </c>
    </row>
    <row r="257" spans="1:1">
      <c r="A257">
        <v>284</v>
      </c>
    </row>
    <row r="258" spans="1:1">
      <c r="A258">
        <v>285</v>
      </c>
    </row>
    <row r="259" spans="1:1">
      <c r="A259">
        <v>286</v>
      </c>
    </row>
    <row r="260" spans="1:1">
      <c r="A260">
        <v>287</v>
      </c>
    </row>
    <row r="261" spans="1:1">
      <c r="A261">
        <v>288</v>
      </c>
    </row>
    <row r="262" spans="1:1">
      <c r="A262">
        <v>289</v>
      </c>
    </row>
    <row r="263" spans="1:1">
      <c r="A263">
        <v>290</v>
      </c>
    </row>
    <row r="264" spans="1:1">
      <c r="A264">
        <v>291</v>
      </c>
    </row>
    <row r="265" spans="1:1">
      <c r="A265">
        <v>292</v>
      </c>
    </row>
    <row r="266" spans="1:1">
      <c r="A266">
        <v>293</v>
      </c>
    </row>
    <row r="267" spans="1:1">
      <c r="A267">
        <v>294</v>
      </c>
    </row>
    <row r="268" spans="1:1">
      <c r="A268">
        <v>295</v>
      </c>
    </row>
    <row r="269" spans="1:1">
      <c r="A269">
        <v>296</v>
      </c>
    </row>
    <row r="270" spans="1:1">
      <c r="A270">
        <v>297</v>
      </c>
    </row>
    <row r="271" spans="1:1">
      <c r="A271">
        <v>298</v>
      </c>
    </row>
    <row r="272" spans="1:1">
      <c r="A272">
        <v>299</v>
      </c>
    </row>
    <row r="273" spans="1:1">
      <c r="A273">
        <v>300</v>
      </c>
    </row>
    <row r="274" spans="1:1">
      <c r="A274">
        <v>301</v>
      </c>
    </row>
    <row r="275" spans="1:1">
      <c r="A275">
        <v>302</v>
      </c>
    </row>
    <row r="276" spans="1:1">
      <c r="A276">
        <v>303</v>
      </c>
    </row>
    <row r="277" spans="1:1">
      <c r="A277">
        <v>304</v>
      </c>
    </row>
    <row r="278" spans="1:1">
      <c r="A278">
        <v>305</v>
      </c>
    </row>
    <row r="279" spans="1:1">
      <c r="A279">
        <v>306</v>
      </c>
    </row>
    <row r="280" spans="1:1">
      <c r="A280">
        <v>307</v>
      </c>
    </row>
    <row r="281" spans="1:1">
      <c r="A281">
        <v>308</v>
      </c>
    </row>
    <row r="282" spans="1:1">
      <c r="A282">
        <v>309</v>
      </c>
    </row>
    <row r="283" spans="1:1">
      <c r="A283">
        <v>310</v>
      </c>
    </row>
    <row r="284" spans="1:1">
      <c r="A284">
        <v>311</v>
      </c>
    </row>
    <row r="285" spans="1:1">
      <c r="A285">
        <v>312</v>
      </c>
    </row>
    <row r="286" spans="1:1">
      <c r="A286">
        <v>313</v>
      </c>
    </row>
    <row r="287" spans="1:1">
      <c r="A287">
        <v>314</v>
      </c>
    </row>
    <row r="288" spans="1:1">
      <c r="A288">
        <v>315</v>
      </c>
    </row>
    <row r="289" spans="1:1">
      <c r="A289">
        <v>316</v>
      </c>
    </row>
    <row r="290" spans="1:1">
      <c r="A290">
        <v>317</v>
      </c>
    </row>
    <row r="291" spans="1:1">
      <c r="A291">
        <v>318</v>
      </c>
    </row>
    <row r="292" spans="1:1">
      <c r="A292">
        <v>319</v>
      </c>
    </row>
    <row r="293" spans="1:1">
      <c r="A293">
        <v>320</v>
      </c>
    </row>
    <row r="294" spans="1:1">
      <c r="A294">
        <v>321</v>
      </c>
    </row>
    <row r="295" spans="1:1">
      <c r="A295">
        <v>322</v>
      </c>
    </row>
    <row r="296" spans="1:1">
      <c r="A296">
        <v>323</v>
      </c>
    </row>
    <row r="297" spans="1:1">
      <c r="A297">
        <v>324</v>
      </c>
    </row>
    <row r="298" spans="1:1">
      <c r="A298">
        <v>325</v>
      </c>
    </row>
    <row r="299" spans="1:1">
      <c r="A299">
        <v>326</v>
      </c>
    </row>
    <row r="300" spans="1:1">
      <c r="A300">
        <v>327</v>
      </c>
    </row>
    <row r="301" spans="1:1">
      <c r="A301">
        <v>328</v>
      </c>
    </row>
    <row r="302" spans="1:1">
      <c r="A302">
        <v>329</v>
      </c>
    </row>
    <row r="303" spans="1:1">
      <c r="A303">
        <v>330</v>
      </c>
    </row>
    <row r="304" spans="1:1">
      <c r="A304">
        <v>331</v>
      </c>
    </row>
    <row r="305" spans="1:1">
      <c r="A305">
        <v>332</v>
      </c>
    </row>
    <row r="306" spans="1:1">
      <c r="A306">
        <v>333</v>
      </c>
    </row>
    <row r="307" spans="1:1">
      <c r="A307">
        <v>334</v>
      </c>
    </row>
    <row r="308" spans="1:1">
      <c r="A308">
        <v>335</v>
      </c>
    </row>
    <row r="309" spans="1:1">
      <c r="A309">
        <v>336</v>
      </c>
    </row>
    <row r="310" spans="1:1">
      <c r="A310">
        <v>337</v>
      </c>
    </row>
    <row r="311" spans="1:1">
      <c r="A311">
        <v>338</v>
      </c>
    </row>
    <row r="312" spans="1:1">
      <c r="A312">
        <v>339</v>
      </c>
    </row>
    <row r="313" spans="1:1">
      <c r="A313">
        <v>340</v>
      </c>
    </row>
    <row r="314" spans="1:1">
      <c r="A314">
        <v>341</v>
      </c>
    </row>
    <row r="315" spans="1:1">
      <c r="A315">
        <v>342</v>
      </c>
    </row>
    <row r="316" spans="1:1">
      <c r="A316">
        <v>343</v>
      </c>
    </row>
    <row r="317" spans="1:1">
      <c r="A317">
        <v>344</v>
      </c>
    </row>
    <row r="318" spans="1:1">
      <c r="A318">
        <v>345</v>
      </c>
    </row>
    <row r="319" spans="1:1">
      <c r="A319">
        <v>346</v>
      </c>
    </row>
    <row r="320" spans="1:1">
      <c r="A320">
        <v>347</v>
      </c>
    </row>
    <row r="321" spans="1:1">
      <c r="A321">
        <v>348</v>
      </c>
    </row>
    <row r="322" spans="1:1">
      <c r="A322">
        <v>349</v>
      </c>
    </row>
    <row r="323" spans="1:1">
      <c r="A323">
        <v>350</v>
      </c>
    </row>
    <row r="324" spans="1:1">
      <c r="A324">
        <v>351</v>
      </c>
    </row>
    <row r="325" spans="1:1">
      <c r="A325">
        <v>352</v>
      </c>
    </row>
    <row r="326" spans="1:1">
      <c r="A326">
        <v>353</v>
      </c>
    </row>
    <row r="327" spans="1:1">
      <c r="A327">
        <v>354</v>
      </c>
    </row>
    <row r="328" spans="1:1">
      <c r="A328">
        <v>355</v>
      </c>
    </row>
    <row r="329" spans="1:1">
      <c r="A329">
        <v>356</v>
      </c>
    </row>
    <row r="330" spans="1:1">
      <c r="A330">
        <v>357</v>
      </c>
    </row>
    <row r="331" spans="1:1">
      <c r="A331">
        <v>358</v>
      </c>
    </row>
    <row r="332" spans="1:1">
      <c r="A332">
        <v>359</v>
      </c>
    </row>
    <row r="333" spans="1:1">
      <c r="A333">
        <v>360</v>
      </c>
    </row>
    <row r="334" spans="1:1">
      <c r="A334">
        <v>361</v>
      </c>
    </row>
    <row r="335" spans="1:1">
      <c r="A335">
        <v>362</v>
      </c>
    </row>
    <row r="336" spans="1:1">
      <c r="A336">
        <v>363</v>
      </c>
    </row>
    <row r="337" spans="1:1">
      <c r="A337">
        <v>364</v>
      </c>
    </row>
    <row r="338" spans="1:1">
      <c r="A338">
        <v>365</v>
      </c>
    </row>
    <row r="339" spans="1:1">
      <c r="A339">
        <v>366</v>
      </c>
    </row>
    <row r="340" spans="1:1">
      <c r="A340">
        <v>367</v>
      </c>
    </row>
    <row r="341" spans="1:1">
      <c r="A341">
        <v>368</v>
      </c>
    </row>
    <row r="342" spans="1:1">
      <c r="A342">
        <v>369</v>
      </c>
    </row>
    <row r="343" spans="1:1">
      <c r="A343">
        <v>370</v>
      </c>
    </row>
    <row r="344" spans="1:1">
      <c r="A344">
        <v>371</v>
      </c>
    </row>
    <row r="345" spans="1:1">
      <c r="A345">
        <v>372</v>
      </c>
    </row>
    <row r="346" spans="1:1">
      <c r="A346">
        <v>373</v>
      </c>
    </row>
    <row r="347" spans="1:1">
      <c r="A347">
        <v>374</v>
      </c>
    </row>
    <row r="348" spans="1:1">
      <c r="A348">
        <v>375</v>
      </c>
    </row>
    <row r="349" spans="1:1">
      <c r="A349">
        <v>376</v>
      </c>
    </row>
    <row r="350" spans="1:1">
      <c r="A350">
        <v>377</v>
      </c>
    </row>
    <row r="351" spans="1:1">
      <c r="A351">
        <v>378</v>
      </c>
    </row>
    <row r="352" spans="1:1">
      <c r="A352">
        <v>379</v>
      </c>
    </row>
    <row r="353" spans="1:1">
      <c r="A353">
        <v>380</v>
      </c>
    </row>
    <row r="354" spans="1:1">
      <c r="A354">
        <v>381</v>
      </c>
    </row>
    <row r="355" spans="1:1">
      <c r="A355">
        <v>382</v>
      </c>
    </row>
    <row r="356" spans="1:1">
      <c r="A356">
        <v>383</v>
      </c>
    </row>
    <row r="357" spans="1:1">
      <c r="A357">
        <v>384</v>
      </c>
    </row>
    <row r="358" spans="1:1">
      <c r="A358">
        <v>385</v>
      </c>
    </row>
    <row r="359" spans="1:1">
      <c r="A359">
        <v>386</v>
      </c>
    </row>
    <row r="360" spans="1:1">
      <c r="A360">
        <v>387</v>
      </c>
    </row>
    <row r="361" spans="1:1">
      <c r="A361">
        <v>388</v>
      </c>
    </row>
    <row r="362" spans="1:1">
      <c r="A362">
        <v>389</v>
      </c>
    </row>
    <row r="363" spans="1:1">
      <c r="A363">
        <v>390</v>
      </c>
    </row>
    <row r="364" spans="1:1">
      <c r="A364">
        <v>391</v>
      </c>
    </row>
    <row r="365" spans="1:1">
      <c r="A365">
        <v>392</v>
      </c>
    </row>
    <row r="366" spans="1:1">
      <c r="A366">
        <v>393</v>
      </c>
    </row>
    <row r="367" spans="1:1">
      <c r="A367">
        <v>394</v>
      </c>
    </row>
    <row r="368" spans="1:1">
      <c r="A368">
        <v>395</v>
      </c>
    </row>
    <row r="369" spans="1:1">
      <c r="A369">
        <v>396</v>
      </c>
    </row>
    <row r="370" spans="1:1">
      <c r="A370">
        <v>397</v>
      </c>
    </row>
    <row r="371" spans="1:1">
      <c r="A371">
        <v>398</v>
      </c>
    </row>
    <row r="372" spans="1:1">
      <c r="A372">
        <v>399</v>
      </c>
    </row>
    <row r="373" spans="1:1">
      <c r="A373">
        <v>400</v>
      </c>
    </row>
    <row r="374" spans="1:1">
      <c r="A374">
        <v>401</v>
      </c>
    </row>
    <row r="375" spans="1:1">
      <c r="A375">
        <v>402</v>
      </c>
    </row>
    <row r="376" spans="1:1">
      <c r="A376">
        <v>403</v>
      </c>
    </row>
    <row r="377" spans="1:1">
      <c r="A377">
        <v>404</v>
      </c>
    </row>
    <row r="378" spans="1:1">
      <c r="A378">
        <v>405</v>
      </c>
    </row>
    <row r="379" spans="1:1">
      <c r="A379">
        <v>406</v>
      </c>
    </row>
    <row r="380" spans="1:1">
      <c r="A380">
        <v>407</v>
      </c>
    </row>
    <row r="381" spans="1:1">
      <c r="A381">
        <v>408</v>
      </c>
    </row>
    <row r="382" spans="1:1">
      <c r="A382">
        <v>409</v>
      </c>
    </row>
    <row r="383" spans="1:1">
      <c r="A383">
        <v>410</v>
      </c>
    </row>
    <row r="384" spans="1:1">
      <c r="A384">
        <v>411</v>
      </c>
    </row>
    <row r="385" spans="1:1">
      <c r="A385">
        <v>412</v>
      </c>
    </row>
    <row r="386" spans="1:1">
      <c r="A386">
        <v>413</v>
      </c>
    </row>
    <row r="387" spans="1:1">
      <c r="A387">
        <v>414</v>
      </c>
    </row>
    <row r="388" spans="1:1">
      <c r="A388">
        <v>415</v>
      </c>
    </row>
    <row r="389" spans="1:1">
      <c r="A389">
        <v>416</v>
      </c>
    </row>
    <row r="390" spans="1:1">
      <c r="A390">
        <v>417</v>
      </c>
    </row>
    <row r="391" spans="1:1">
      <c r="A391">
        <v>418</v>
      </c>
    </row>
    <row r="392" spans="1:1">
      <c r="A392">
        <v>419</v>
      </c>
    </row>
    <row r="393" spans="1:1">
      <c r="A393">
        <v>420</v>
      </c>
    </row>
    <row r="394" spans="1:1">
      <c r="A394">
        <v>421</v>
      </c>
    </row>
    <row r="395" spans="1:1">
      <c r="A395">
        <v>422</v>
      </c>
    </row>
    <row r="396" spans="1:1">
      <c r="A396">
        <v>423</v>
      </c>
    </row>
    <row r="397" spans="1:1">
      <c r="A397">
        <v>424</v>
      </c>
    </row>
    <row r="398" spans="1:1">
      <c r="A398">
        <v>425</v>
      </c>
    </row>
    <row r="399" spans="1:1">
      <c r="A399">
        <v>426</v>
      </c>
    </row>
    <row r="400" spans="1:1">
      <c r="A400">
        <v>427</v>
      </c>
    </row>
    <row r="401" spans="1:1">
      <c r="A401">
        <v>428</v>
      </c>
    </row>
    <row r="402" spans="1:1">
      <c r="A402">
        <v>429</v>
      </c>
    </row>
    <row r="403" spans="1:1">
      <c r="A403">
        <v>430</v>
      </c>
    </row>
    <row r="404" spans="1:1">
      <c r="A404">
        <v>431</v>
      </c>
    </row>
    <row r="405" spans="1:1">
      <c r="A405">
        <v>432</v>
      </c>
    </row>
    <row r="406" spans="1:1">
      <c r="A406">
        <v>433</v>
      </c>
    </row>
    <row r="407" spans="1:1">
      <c r="A407">
        <v>434</v>
      </c>
    </row>
    <row r="408" spans="1:1">
      <c r="A408">
        <v>435</v>
      </c>
    </row>
    <row r="409" spans="1:1">
      <c r="A409">
        <v>436</v>
      </c>
    </row>
    <row r="410" spans="1:1">
      <c r="A410">
        <v>437</v>
      </c>
    </row>
    <row r="411" spans="1:1">
      <c r="A411">
        <v>438</v>
      </c>
    </row>
    <row r="412" spans="1:1">
      <c r="A412">
        <v>439</v>
      </c>
    </row>
    <row r="413" spans="1:1">
      <c r="A413">
        <v>440</v>
      </c>
    </row>
    <row r="414" spans="1:1">
      <c r="A414">
        <v>441</v>
      </c>
    </row>
    <row r="415" spans="1:1">
      <c r="A415">
        <v>442</v>
      </c>
    </row>
    <row r="416" spans="1:1">
      <c r="A416">
        <v>443</v>
      </c>
    </row>
    <row r="417" spans="1:1">
      <c r="A417">
        <v>444</v>
      </c>
    </row>
    <row r="418" spans="1:1">
      <c r="A418">
        <v>445</v>
      </c>
    </row>
    <row r="419" spans="1:1">
      <c r="A419">
        <v>446</v>
      </c>
    </row>
    <row r="420" spans="1:1">
      <c r="A420">
        <v>447</v>
      </c>
    </row>
    <row r="421" spans="1:1">
      <c r="A421">
        <v>448</v>
      </c>
    </row>
    <row r="422" spans="1:1">
      <c r="A422">
        <v>449</v>
      </c>
    </row>
    <row r="423" spans="1:1">
      <c r="A423">
        <v>450</v>
      </c>
    </row>
    <row r="424" spans="1:1">
      <c r="A424">
        <v>451</v>
      </c>
    </row>
    <row r="425" spans="1:1">
      <c r="A425">
        <v>452</v>
      </c>
    </row>
    <row r="426" spans="1:1">
      <c r="A426">
        <v>453</v>
      </c>
    </row>
    <row r="427" spans="1:1">
      <c r="A427">
        <v>454</v>
      </c>
    </row>
    <row r="428" spans="1:1">
      <c r="A428">
        <v>455</v>
      </c>
    </row>
    <row r="429" spans="1:1">
      <c r="A429">
        <v>456</v>
      </c>
    </row>
    <row r="430" spans="1:1">
      <c r="A430">
        <v>457</v>
      </c>
    </row>
    <row r="431" spans="1:1">
      <c r="A431">
        <v>458</v>
      </c>
    </row>
    <row r="432" spans="1:1">
      <c r="A432">
        <v>459</v>
      </c>
    </row>
    <row r="433" spans="1:1">
      <c r="A433">
        <v>460</v>
      </c>
    </row>
    <row r="434" spans="1:1">
      <c r="A434">
        <v>461</v>
      </c>
    </row>
    <row r="435" spans="1:1">
      <c r="A435">
        <v>462</v>
      </c>
    </row>
    <row r="436" spans="1:1">
      <c r="A436">
        <v>463</v>
      </c>
    </row>
    <row r="437" spans="1:1">
      <c r="A437">
        <v>464</v>
      </c>
    </row>
    <row r="438" spans="1:1">
      <c r="A438">
        <v>465</v>
      </c>
    </row>
    <row r="439" spans="1:1">
      <c r="A439">
        <v>466</v>
      </c>
    </row>
    <row r="440" spans="1:1">
      <c r="A440">
        <v>467</v>
      </c>
    </row>
    <row r="441" spans="1:1">
      <c r="A441">
        <v>468</v>
      </c>
    </row>
    <row r="442" spans="1:1">
      <c r="A442">
        <v>469</v>
      </c>
    </row>
    <row r="443" spans="1:1">
      <c r="A443">
        <v>470</v>
      </c>
    </row>
    <row r="444" spans="1:1">
      <c r="A444">
        <v>471</v>
      </c>
    </row>
    <row r="445" spans="1:1">
      <c r="A445">
        <v>472</v>
      </c>
    </row>
    <row r="446" spans="1:1">
      <c r="A446">
        <v>473</v>
      </c>
    </row>
    <row r="447" spans="1:1">
      <c r="A447">
        <v>474</v>
      </c>
    </row>
    <row r="448" spans="1:1">
      <c r="A448">
        <v>475</v>
      </c>
    </row>
    <row r="449" spans="1:1">
      <c r="A449">
        <v>476</v>
      </c>
    </row>
    <row r="450" spans="1:1">
      <c r="A450">
        <v>477</v>
      </c>
    </row>
    <row r="451" spans="1:1">
      <c r="A451">
        <v>478</v>
      </c>
    </row>
    <row r="452" spans="1:1">
      <c r="A452">
        <v>479</v>
      </c>
    </row>
    <row r="453" spans="1:1">
      <c r="A453">
        <v>480</v>
      </c>
    </row>
    <row r="454" spans="1:1">
      <c r="A454">
        <v>481</v>
      </c>
    </row>
    <row r="455" spans="1:1">
      <c r="A455">
        <v>482</v>
      </c>
    </row>
    <row r="456" spans="1:1">
      <c r="A456">
        <v>483</v>
      </c>
    </row>
    <row r="457" spans="1:1">
      <c r="A457">
        <v>484</v>
      </c>
    </row>
    <row r="458" spans="1:1">
      <c r="A458">
        <v>485</v>
      </c>
    </row>
    <row r="459" spans="1:1">
      <c r="A459">
        <v>486</v>
      </c>
    </row>
    <row r="460" spans="1:1">
      <c r="A460">
        <v>487</v>
      </c>
    </row>
    <row r="461" spans="1:1">
      <c r="A461">
        <v>488</v>
      </c>
    </row>
    <row r="462" spans="1:1">
      <c r="A462">
        <v>489</v>
      </c>
    </row>
    <row r="463" spans="1:1">
      <c r="A463">
        <v>490</v>
      </c>
    </row>
    <row r="464" spans="1:1">
      <c r="A464">
        <v>491</v>
      </c>
    </row>
    <row r="465" spans="1:1">
      <c r="A465">
        <v>492</v>
      </c>
    </row>
    <row r="466" spans="1:1">
      <c r="A466">
        <v>493</v>
      </c>
    </row>
    <row r="467" spans="1:1">
      <c r="A467">
        <v>494</v>
      </c>
    </row>
    <row r="468" spans="1:1">
      <c r="A468">
        <v>495</v>
      </c>
    </row>
    <row r="469" spans="1:1">
      <c r="A469">
        <v>496</v>
      </c>
    </row>
    <row r="470" spans="1:1">
      <c r="A470">
        <v>497</v>
      </c>
    </row>
    <row r="471" spans="1:1">
      <c r="A471">
        <v>498</v>
      </c>
    </row>
    <row r="472" spans="1:1">
      <c r="A472">
        <v>499</v>
      </c>
    </row>
    <row r="473" spans="1:1">
      <c r="A473">
        <v>500</v>
      </c>
    </row>
    <row r="474" spans="1:1">
      <c r="A474">
        <v>501</v>
      </c>
    </row>
    <row r="475" spans="1:1">
      <c r="A475">
        <v>502</v>
      </c>
    </row>
    <row r="476" spans="1:1">
      <c r="A476">
        <v>503</v>
      </c>
    </row>
    <row r="477" spans="1:1">
      <c r="A477">
        <v>504</v>
      </c>
    </row>
    <row r="478" spans="1:1">
      <c r="A478">
        <v>505</v>
      </c>
    </row>
    <row r="479" spans="1:1">
      <c r="A479">
        <v>506</v>
      </c>
    </row>
    <row r="480" spans="1:1">
      <c r="A480">
        <v>507</v>
      </c>
    </row>
    <row r="481" spans="1:1">
      <c r="A481">
        <v>508</v>
      </c>
    </row>
    <row r="482" spans="1:1">
      <c r="A482">
        <v>509</v>
      </c>
    </row>
    <row r="483" spans="1:1">
      <c r="A483">
        <v>510</v>
      </c>
    </row>
    <row r="484" spans="1:1">
      <c r="A484">
        <v>511</v>
      </c>
    </row>
    <row r="485" spans="1:1">
      <c r="A485">
        <v>512</v>
      </c>
    </row>
    <row r="486" spans="1:1">
      <c r="A486">
        <v>513</v>
      </c>
    </row>
    <row r="487" spans="1:1">
      <c r="A487">
        <v>514</v>
      </c>
    </row>
    <row r="488" spans="1:1">
      <c r="A488">
        <v>515</v>
      </c>
    </row>
    <row r="489" spans="1:1">
      <c r="A489">
        <v>516</v>
      </c>
    </row>
    <row r="490" spans="1:1">
      <c r="A490">
        <v>517</v>
      </c>
    </row>
    <row r="491" spans="1:1">
      <c r="A491">
        <v>518</v>
      </c>
    </row>
    <row r="492" spans="1:1">
      <c r="A492">
        <v>519</v>
      </c>
    </row>
    <row r="493" spans="1:1">
      <c r="A493">
        <v>520</v>
      </c>
    </row>
    <row r="494" spans="1:1">
      <c r="A494">
        <v>521</v>
      </c>
    </row>
    <row r="495" spans="1:1">
      <c r="A495">
        <v>522</v>
      </c>
    </row>
    <row r="496" spans="1:1">
      <c r="A496">
        <v>523</v>
      </c>
    </row>
    <row r="497" spans="1:1">
      <c r="A497">
        <v>524</v>
      </c>
    </row>
    <row r="498" spans="1:1">
      <c r="A498">
        <v>525</v>
      </c>
    </row>
    <row r="499" spans="1:1">
      <c r="A499">
        <v>526</v>
      </c>
    </row>
    <row r="500" spans="1:1">
      <c r="A500">
        <v>527</v>
      </c>
    </row>
    <row r="501" spans="1:1">
      <c r="A501">
        <v>528</v>
      </c>
    </row>
    <row r="502" spans="1:1">
      <c r="A502">
        <v>529</v>
      </c>
    </row>
    <row r="503" spans="1:1">
      <c r="A503">
        <v>530</v>
      </c>
    </row>
    <row r="504" spans="1:1">
      <c r="A504">
        <v>531</v>
      </c>
    </row>
    <row r="505" spans="1:1">
      <c r="A505">
        <v>532</v>
      </c>
    </row>
    <row r="506" spans="1:1">
      <c r="A506">
        <v>533</v>
      </c>
    </row>
    <row r="507" spans="1:1">
      <c r="A507">
        <v>534</v>
      </c>
    </row>
    <row r="508" spans="1:1">
      <c r="A508">
        <v>535</v>
      </c>
    </row>
    <row r="509" spans="1:1">
      <c r="A509">
        <v>536</v>
      </c>
    </row>
    <row r="510" spans="1:1">
      <c r="A510">
        <v>537</v>
      </c>
    </row>
    <row r="511" spans="1:1">
      <c r="A511">
        <v>538</v>
      </c>
    </row>
    <row r="512" spans="1:1">
      <c r="A512">
        <v>539</v>
      </c>
    </row>
    <row r="513" spans="1:1">
      <c r="A513">
        <v>540</v>
      </c>
    </row>
    <row r="514" spans="1:1">
      <c r="A514">
        <v>541</v>
      </c>
    </row>
    <row r="515" spans="1:1">
      <c r="A515">
        <v>542</v>
      </c>
    </row>
    <row r="516" spans="1:1">
      <c r="A516">
        <v>543</v>
      </c>
    </row>
    <row r="517" spans="1:1">
      <c r="A517">
        <v>544</v>
      </c>
    </row>
    <row r="518" spans="1:1">
      <c r="A518">
        <v>545</v>
      </c>
    </row>
    <row r="519" spans="1:1">
      <c r="A519">
        <v>546</v>
      </c>
    </row>
    <row r="520" spans="1:1">
      <c r="A520">
        <v>547</v>
      </c>
    </row>
    <row r="521" spans="1:1">
      <c r="A521">
        <v>548</v>
      </c>
    </row>
    <row r="522" spans="1:1">
      <c r="A522">
        <v>549</v>
      </c>
    </row>
    <row r="523" spans="1:1">
      <c r="A523">
        <v>550</v>
      </c>
    </row>
    <row r="524" spans="1:1">
      <c r="A524">
        <v>551</v>
      </c>
    </row>
    <row r="525" spans="1:1">
      <c r="A525">
        <v>552</v>
      </c>
    </row>
    <row r="526" spans="1:1">
      <c r="A526">
        <v>553</v>
      </c>
    </row>
    <row r="527" spans="1:1">
      <c r="A527">
        <v>554</v>
      </c>
    </row>
    <row r="528" spans="1:1">
      <c r="A528">
        <v>555</v>
      </c>
    </row>
    <row r="529" spans="1:1">
      <c r="A529">
        <v>556</v>
      </c>
    </row>
    <row r="530" spans="1:1">
      <c r="A530">
        <v>557</v>
      </c>
    </row>
    <row r="531" spans="1:1">
      <c r="A531">
        <v>558</v>
      </c>
    </row>
    <row r="532" spans="1:1">
      <c r="A532">
        <v>559</v>
      </c>
    </row>
    <row r="533" spans="1:1">
      <c r="A533">
        <v>560</v>
      </c>
    </row>
    <row r="534" spans="1:1">
      <c r="A534">
        <v>561</v>
      </c>
    </row>
    <row r="535" spans="1:1">
      <c r="A535">
        <v>562</v>
      </c>
    </row>
    <row r="536" spans="1:1">
      <c r="A536">
        <v>563</v>
      </c>
    </row>
    <row r="537" spans="1:1">
      <c r="A537">
        <v>564</v>
      </c>
    </row>
    <row r="538" spans="1:1">
      <c r="A538">
        <v>565</v>
      </c>
    </row>
    <row r="539" spans="1:1">
      <c r="A539">
        <v>566</v>
      </c>
    </row>
    <row r="540" spans="1:1">
      <c r="A540">
        <v>567</v>
      </c>
    </row>
    <row r="541" spans="1:1">
      <c r="A541">
        <v>568</v>
      </c>
    </row>
    <row r="542" spans="1:1">
      <c r="A542">
        <v>569</v>
      </c>
    </row>
    <row r="543" spans="1:1">
      <c r="A543">
        <v>570</v>
      </c>
    </row>
    <row r="544" spans="1:1">
      <c r="A544">
        <v>571</v>
      </c>
    </row>
    <row r="545" spans="1:1">
      <c r="A545">
        <v>572</v>
      </c>
    </row>
    <row r="546" spans="1:1">
      <c r="A546">
        <v>573</v>
      </c>
    </row>
    <row r="547" spans="1:1">
      <c r="A547">
        <v>574</v>
      </c>
    </row>
    <row r="548" spans="1:1">
      <c r="A548">
        <v>575</v>
      </c>
    </row>
    <row r="549" spans="1:1">
      <c r="A549">
        <v>576</v>
      </c>
    </row>
    <row r="550" spans="1:1">
      <c r="A550">
        <v>577</v>
      </c>
    </row>
    <row r="551" spans="1:1">
      <c r="A551">
        <v>578</v>
      </c>
    </row>
    <row r="552" spans="1:1">
      <c r="A552">
        <v>579</v>
      </c>
    </row>
    <row r="553" spans="1:1">
      <c r="A553">
        <v>580</v>
      </c>
    </row>
    <row r="554" spans="1:1">
      <c r="A554">
        <v>581</v>
      </c>
    </row>
    <row r="555" spans="1:1">
      <c r="A555">
        <v>582</v>
      </c>
    </row>
    <row r="556" spans="1:1">
      <c r="A556">
        <v>583</v>
      </c>
    </row>
    <row r="557" spans="1:1">
      <c r="A557">
        <v>584</v>
      </c>
    </row>
    <row r="558" spans="1:1">
      <c r="A558">
        <v>585</v>
      </c>
    </row>
    <row r="559" spans="1:1">
      <c r="A559">
        <v>586</v>
      </c>
    </row>
    <row r="560" spans="1:1">
      <c r="A560">
        <v>587</v>
      </c>
    </row>
    <row r="561" spans="1:1">
      <c r="A561">
        <v>588</v>
      </c>
    </row>
    <row r="562" spans="1:1">
      <c r="A562">
        <v>589</v>
      </c>
    </row>
    <row r="563" spans="1:1">
      <c r="A563">
        <v>590</v>
      </c>
    </row>
    <row r="564" spans="1:1">
      <c r="A564">
        <v>591</v>
      </c>
    </row>
    <row r="565" spans="1:1">
      <c r="A565">
        <v>592</v>
      </c>
    </row>
    <row r="566" spans="1:1">
      <c r="A566">
        <v>593</v>
      </c>
    </row>
    <row r="567" spans="1:1">
      <c r="A567">
        <v>594</v>
      </c>
    </row>
    <row r="568" spans="1:1">
      <c r="A568">
        <v>595</v>
      </c>
    </row>
    <row r="569" spans="1:1">
      <c r="A569">
        <v>596</v>
      </c>
    </row>
    <row r="570" spans="1:1">
      <c r="A570">
        <v>597</v>
      </c>
    </row>
    <row r="571" spans="1:1">
      <c r="A571">
        <v>598</v>
      </c>
    </row>
    <row r="572" spans="1:1">
      <c r="A572">
        <v>599</v>
      </c>
    </row>
    <row r="573" spans="1:1">
      <c r="A573">
        <v>600</v>
      </c>
    </row>
    <row r="574" spans="1:1">
      <c r="A574">
        <v>601</v>
      </c>
    </row>
    <row r="575" spans="1:1">
      <c r="A575">
        <v>602</v>
      </c>
    </row>
    <row r="576" spans="1:1">
      <c r="A576">
        <v>603</v>
      </c>
    </row>
    <row r="577" spans="1:1">
      <c r="A577">
        <v>604</v>
      </c>
    </row>
    <row r="578" spans="1:1">
      <c r="A578">
        <v>605</v>
      </c>
    </row>
    <row r="579" spans="1:1">
      <c r="A579">
        <v>606</v>
      </c>
    </row>
    <row r="580" spans="1:1">
      <c r="A580">
        <v>607</v>
      </c>
    </row>
    <row r="581" spans="1:1">
      <c r="A581">
        <v>608</v>
      </c>
    </row>
    <row r="582" spans="1:1">
      <c r="A582">
        <v>609</v>
      </c>
    </row>
    <row r="583" spans="1:1">
      <c r="A583">
        <v>610</v>
      </c>
    </row>
    <row r="584" spans="1:1">
      <c r="A584">
        <v>611</v>
      </c>
    </row>
    <row r="585" spans="1:1">
      <c r="A585">
        <v>612</v>
      </c>
    </row>
    <row r="586" spans="1:1">
      <c r="A586">
        <v>613</v>
      </c>
    </row>
    <row r="587" spans="1:1">
      <c r="A587">
        <v>614</v>
      </c>
    </row>
    <row r="588" spans="1:1">
      <c r="A588">
        <v>615</v>
      </c>
    </row>
    <row r="589" spans="1:1">
      <c r="A589">
        <v>616</v>
      </c>
    </row>
    <row r="590" spans="1:1">
      <c r="A590">
        <v>617</v>
      </c>
    </row>
    <row r="591" spans="1:1">
      <c r="A591">
        <v>618</v>
      </c>
    </row>
    <row r="592" spans="1:1">
      <c r="A592">
        <v>619</v>
      </c>
    </row>
    <row r="593" spans="1:1">
      <c r="A593">
        <v>620</v>
      </c>
    </row>
    <row r="594" spans="1:1">
      <c r="A594">
        <v>621</v>
      </c>
    </row>
    <row r="595" spans="1:1">
      <c r="A595">
        <v>622</v>
      </c>
    </row>
    <row r="596" spans="1:1">
      <c r="A596">
        <v>623</v>
      </c>
    </row>
    <row r="597" spans="1:1">
      <c r="A597">
        <v>624</v>
      </c>
    </row>
    <row r="598" spans="1:1">
      <c r="A598">
        <v>625</v>
      </c>
    </row>
    <row r="599" spans="1:1">
      <c r="A599">
        <v>626</v>
      </c>
    </row>
    <row r="600" spans="1:1">
      <c r="A600">
        <v>627</v>
      </c>
    </row>
    <row r="601" spans="1:1">
      <c r="A601">
        <v>628</v>
      </c>
    </row>
    <row r="602" spans="1:1">
      <c r="A602">
        <v>629</v>
      </c>
    </row>
    <row r="603" spans="1:1">
      <c r="A603">
        <v>630</v>
      </c>
    </row>
    <row r="604" spans="1:1">
      <c r="A604">
        <v>631</v>
      </c>
    </row>
    <row r="605" spans="1:1">
      <c r="A605">
        <v>632</v>
      </c>
    </row>
    <row r="606" spans="1:1">
      <c r="A606">
        <v>633</v>
      </c>
    </row>
    <row r="607" spans="1:1">
      <c r="A607">
        <v>634</v>
      </c>
    </row>
    <row r="608" spans="1:1">
      <c r="A608">
        <v>635</v>
      </c>
    </row>
    <row r="609" spans="1:1">
      <c r="A609">
        <v>636</v>
      </c>
    </row>
    <row r="610" spans="1:1">
      <c r="A610">
        <v>637</v>
      </c>
    </row>
    <row r="611" spans="1:1">
      <c r="A611">
        <v>638</v>
      </c>
    </row>
    <row r="612" spans="1:1">
      <c r="A612">
        <v>639</v>
      </c>
    </row>
    <row r="613" spans="1:1">
      <c r="A613">
        <v>640</v>
      </c>
    </row>
    <row r="614" spans="1:1">
      <c r="A614">
        <v>641</v>
      </c>
    </row>
    <row r="615" spans="1:1">
      <c r="A615">
        <v>642</v>
      </c>
    </row>
    <row r="616" spans="1:1">
      <c r="A616">
        <v>643</v>
      </c>
    </row>
    <row r="617" spans="1:1">
      <c r="A617">
        <v>644</v>
      </c>
    </row>
    <row r="618" spans="1:1">
      <c r="A618">
        <v>645</v>
      </c>
    </row>
    <row r="619" spans="1:1">
      <c r="A619">
        <v>646</v>
      </c>
    </row>
    <row r="620" spans="1:1">
      <c r="A620">
        <v>647</v>
      </c>
    </row>
    <row r="621" spans="1:1">
      <c r="A621">
        <v>648</v>
      </c>
    </row>
    <row r="622" spans="1:1">
      <c r="A622">
        <v>649</v>
      </c>
    </row>
    <row r="623" spans="1:1">
      <c r="A623">
        <v>650</v>
      </c>
    </row>
    <row r="624" spans="1:1">
      <c r="A624">
        <v>651</v>
      </c>
    </row>
    <row r="625" spans="1:1">
      <c r="A625">
        <v>652</v>
      </c>
    </row>
    <row r="626" spans="1:1">
      <c r="A626">
        <v>653</v>
      </c>
    </row>
    <row r="627" spans="1:1">
      <c r="A627">
        <v>654</v>
      </c>
    </row>
    <row r="628" spans="1:1">
      <c r="A628">
        <v>655</v>
      </c>
    </row>
    <row r="629" spans="1:1">
      <c r="A629">
        <v>656</v>
      </c>
    </row>
    <row r="630" spans="1:1">
      <c r="A630">
        <v>657</v>
      </c>
    </row>
    <row r="631" spans="1:1">
      <c r="A631">
        <v>658</v>
      </c>
    </row>
    <row r="632" spans="1:1">
      <c r="A632">
        <v>659</v>
      </c>
    </row>
    <row r="633" spans="1:1">
      <c r="A633">
        <v>660</v>
      </c>
    </row>
    <row r="634" spans="1:1">
      <c r="A634">
        <v>661</v>
      </c>
    </row>
    <row r="635" spans="1:1">
      <c r="A635">
        <v>662</v>
      </c>
    </row>
    <row r="636" spans="1:1">
      <c r="A636">
        <v>663</v>
      </c>
    </row>
    <row r="637" spans="1:1">
      <c r="A637">
        <v>664</v>
      </c>
    </row>
    <row r="638" spans="1:1">
      <c r="A638">
        <v>665</v>
      </c>
    </row>
    <row r="639" spans="1:1">
      <c r="A639">
        <v>666</v>
      </c>
    </row>
    <row r="640" spans="1:1">
      <c r="A640">
        <v>667</v>
      </c>
    </row>
    <row r="641" spans="1:1">
      <c r="A641">
        <v>668</v>
      </c>
    </row>
    <row r="642" spans="1:1">
      <c r="A642">
        <v>669</v>
      </c>
    </row>
    <row r="643" spans="1:1">
      <c r="A643">
        <v>670</v>
      </c>
    </row>
    <row r="644" spans="1:1">
      <c r="A644">
        <v>671</v>
      </c>
    </row>
    <row r="645" spans="1:1">
      <c r="A645">
        <v>672</v>
      </c>
    </row>
    <row r="646" spans="1:1">
      <c r="A646">
        <v>673</v>
      </c>
    </row>
    <row r="647" spans="1:1">
      <c r="A647">
        <v>674</v>
      </c>
    </row>
    <row r="648" spans="1:1">
      <c r="A648">
        <v>675</v>
      </c>
    </row>
    <row r="649" spans="1:1">
      <c r="A649">
        <v>676</v>
      </c>
    </row>
    <row r="650" spans="1:1">
      <c r="A650">
        <v>677</v>
      </c>
    </row>
    <row r="651" spans="1:1">
      <c r="A651">
        <v>678</v>
      </c>
    </row>
    <row r="652" spans="1:1">
      <c r="A652">
        <v>679</v>
      </c>
    </row>
    <row r="653" spans="1:1">
      <c r="A653">
        <v>680</v>
      </c>
    </row>
    <row r="654" spans="1:1">
      <c r="A654">
        <v>681</v>
      </c>
    </row>
    <row r="655" spans="1:1">
      <c r="A655">
        <v>682</v>
      </c>
    </row>
    <row r="656" spans="1:1">
      <c r="A656">
        <v>683</v>
      </c>
    </row>
    <row r="657" spans="1:1">
      <c r="A657">
        <v>684</v>
      </c>
    </row>
    <row r="658" spans="1:1">
      <c r="A658">
        <v>685</v>
      </c>
    </row>
    <row r="659" spans="1:1">
      <c r="A659">
        <v>686</v>
      </c>
    </row>
    <row r="660" spans="1:1">
      <c r="A660">
        <v>687</v>
      </c>
    </row>
    <row r="661" spans="1:1">
      <c r="A661">
        <v>688</v>
      </c>
    </row>
    <row r="662" spans="1:1">
      <c r="A662">
        <v>689</v>
      </c>
    </row>
    <row r="663" spans="1:1">
      <c r="A663">
        <v>690</v>
      </c>
    </row>
    <row r="664" spans="1:1">
      <c r="A664">
        <v>691</v>
      </c>
    </row>
    <row r="665" spans="1:1">
      <c r="A665">
        <v>692</v>
      </c>
    </row>
    <row r="666" spans="1:1">
      <c r="A666">
        <v>693</v>
      </c>
    </row>
    <row r="667" spans="1:1">
      <c r="A667">
        <v>694</v>
      </c>
    </row>
    <row r="668" spans="1:1">
      <c r="A668">
        <v>695</v>
      </c>
    </row>
    <row r="669" spans="1:1">
      <c r="A669">
        <v>696</v>
      </c>
    </row>
    <row r="670" spans="1:1">
      <c r="A670">
        <v>697</v>
      </c>
    </row>
    <row r="671" spans="1:1">
      <c r="A671">
        <v>698</v>
      </c>
    </row>
    <row r="672" spans="1:1">
      <c r="A672">
        <v>699</v>
      </c>
    </row>
    <row r="673" spans="1:1">
      <c r="A673">
        <v>700</v>
      </c>
    </row>
  </sheetData>
  <phoneticPr fontId="2" type="noConversion"/>
  <dataValidations count="4">
    <dataValidation type="list" allowBlank="1" showInputMessage="1" showErrorMessage="1" sqref="D29:D938">
      <formula1>$W$5:$W$7</formula1>
    </dataValidation>
    <dataValidation type="list" allowBlank="1" showInputMessage="1" showErrorMessage="1" sqref="C29:C938">
      <formula1>$V$5:$V$10</formula1>
    </dataValidation>
    <dataValidation type="list" allowBlank="1" showInputMessage="1" showErrorMessage="1" sqref="D5:D10 D21:D26 D12:D19 D28">
      <formula1>$W$5:$W$17</formula1>
    </dataValidation>
    <dataValidation type="list" allowBlank="1" showInputMessage="1" showErrorMessage="1" sqref="C5:C10 C21:C26 C12:C19 C28">
      <formula1>$V$5:$V$37</formula1>
    </dataValidation>
  </dataValidations>
  <pageMargins left="0.75" right="0.75" top="1" bottom="1" header="0" footer="0"/>
  <pageSetup paperSize="9"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-0.249977111117893"/>
  </sheetPr>
  <dimension ref="A1:V20"/>
  <sheetViews>
    <sheetView zoomScale="85" workbookViewId="0">
      <selection activeCell="C11" sqref="C11:I11"/>
    </sheetView>
  </sheetViews>
  <sheetFormatPr baseColWidth="10" defaultColWidth="12.85546875" defaultRowHeight="15"/>
  <cols>
    <col min="1" max="1" width="5.7109375" style="4" customWidth="1"/>
    <col min="2" max="2" width="1.42578125" style="4" customWidth="1"/>
    <col min="3" max="3" width="5" style="4" customWidth="1"/>
    <col min="4" max="4" width="6.5703125" style="4" customWidth="1"/>
    <col min="5" max="5" width="3.140625" style="4" customWidth="1"/>
    <col min="6" max="6" width="11" style="4" customWidth="1"/>
    <col min="7" max="8" width="6" style="4" customWidth="1"/>
    <col min="9" max="9" width="6.28515625" style="4" customWidth="1"/>
    <col min="10" max="10" width="15.5703125" style="4" customWidth="1"/>
    <col min="11" max="11" width="4.42578125" style="4" customWidth="1"/>
    <col min="12" max="12" width="38.7109375" style="4" customWidth="1"/>
    <col min="13" max="13" width="6.42578125" style="4" customWidth="1"/>
    <col min="14" max="14" width="8" style="4" customWidth="1"/>
    <col min="15" max="15" width="8.140625" style="4" customWidth="1"/>
    <col min="16" max="16" width="7.140625" style="4" customWidth="1"/>
    <col min="17" max="17" width="9" style="4" customWidth="1"/>
    <col min="18" max="18" width="9.140625" style="4" customWidth="1"/>
    <col min="19" max="19" width="15" style="4" customWidth="1"/>
    <col min="20" max="20" width="3" style="4" customWidth="1"/>
    <col min="21" max="21" width="16.28515625" style="4" customWidth="1"/>
    <col min="22" max="22" width="25.7109375" style="4" bestFit="1" customWidth="1"/>
    <col min="23" max="16384" width="12.85546875" style="3"/>
  </cols>
  <sheetData>
    <row r="1" spans="1:13">
      <c r="A1" s="16">
        <v>21</v>
      </c>
    </row>
    <row r="2" spans="1:13" ht="12" customHeight="1"/>
    <row r="3" spans="1:13" ht="21.75" customHeight="1">
      <c r="C3" s="152" t="str">
        <f>LOOKUP($A$1,MATRIMONIO!$A$5:B965)</f>
        <v>JESUS MANUEL Y DENISE SARAHI</v>
      </c>
      <c r="D3" s="152"/>
      <c r="E3" s="152"/>
      <c r="F3" s="152"/>
      <c r="G3" s="152"/>
      <c r="H3" s="152"/>
      <c r="I3" s="152"/>
      <c r="J3" s="152"/>
      <c r="K3" s="152"/>
      <c r="L3" s="152"/>
    </row>
    <row r="4" spans="1:13" ht="25.5" customHeight="1">
      <c r="H4" s="8"/>
      <c r="I4" s="8"/>
      <c r="J4" s="8"/>
      <c r="K4" s="8"/>
      <c r="L4" s="8"/>
    </row>
    <row r="5" spans="1:13" ht="30" customHeight="1">
      <c r="H5" s="8"/>
      <c r="I5" s="8"/>
      <c r="J5" s="8"/>
      <c r="K5" s="8"/>
      <c r="L5" s="8"/>
    </row>
    <row r="6" spans="1:13" hidden="1"/>
    <row r="7" spans="1:13" ht="28.5" customHeight="1">
      <c r="D7" s="44">
        <f>IF(LOOKUP($A$1,MATRIMONIO!$A$5:C965)=0," ",LOOKUP($A$1,MATRIMONIO!$A$5:C965))</f>
        <v>18</v>
      </c>
      <c r="F7" s="45" t="str">
        <f>IF(LOOKUP($A$1,MATRIMONIO!$A$5:D965)=0," ",LOOKUP($A$1,MATRIMONIO!$A$5:D965))</f>
        <v>ABRIL</v>
      </c>
      <c r="G7" s="13"/>
      <c r="H7" s="13"/>
      <c r="I7" s="46">
        <f>IF(LOOKUP($A$1,MATRIMONIO!$A$5:E965)=0," ",LOOKUP($A$1,MATRIMONIO!$A$5:E965))</f>
        <v>2026</v>
      </c>
      <c r="J7" s="13"/>
      <c r="K7" s="15"/>
      <c r="L7" s="47" t="str">
        <f>IF(LOOKUP($A$1,MATRIMONIO!$A$5:F965)=0," ",LOOKUP($A$1,MATRIMONIO!$A$5:F965))</f>
        <v>GERARDO CAMACHO PONCE</v>
      </c>
    </row>
    <row r="8" spans="1:13" ht="23.25" customHeight="1">
      <c r="D8" s="13"/>
      <c r="F8" s="13"/>
      <c r="G8" s="13"/>
      <c r="H8" s="13"/>
      <c r="L8" s="13"/>
    </row>
    <row r="9" spans="1:13" ht="30.75" customHeight="1">
      <c r="C9" s="153" t="str">
        <f>IF(LOOKUP($A$1,MATRIMONIO!$A$5:G965)=0," ",LOOKUP($A$1,MATRIMONIO!$A$5:G965))</f>
        <v>GERARDO VALENZUELA VARELA</v>
      </c>
      <c r="D9" s="153"/>
      <c r="E9" s="153"/>
      <c r="F9" s="153"/>
      <c r="G9" s="153"/>
      <c r="H9" s="153"/>
      <c r="I9" s="153"/>
      <c r="J9" s="9"/>
      <c r="K9" s="153" t="str">
        <f>LOOKUP($A$1,MATRIMONIO!$A$5:H965)</f>
        <v>TERESITA OCTAVIANA JUSAINO MONGE</v>
      </c>
      <c r="L9" s="153"/>
      <c r="M9" s="14"/>
    </row>
    <row r="10" spans="1:13" ht="7.5" customHeight="1"/>
    <row r="11" spans="1:13" ht="18.75" customHeight="1">
      <c r="C11" s="153" t="str">
        <f>IF(LOOKUP($A$1,MATRIMONIO!$A$5:I965)=0," ",LOOKUP($A$1,MATRIMONIO!$A$5:I965))</f>
        <v>JUAN PALAFOX LUNA</v>
      </c>
      <c r="D11" s="153"/>
      <c r="E11" s="153"/>
      <c r="F11" s="153"/>
      <c r="G11" s="153"/>
      <c r="H11" s="153"/>
      <c r="I11" s="153"/>
      <c r="J11" s="14"/>
      <c r="K11" s="153" t="str">
        <f>IF(LOOKUP($A$1,MATRIMONIO!$A$5:I965)=0," ",LOOKUP($A$1,MATRIMONIO!$A$5:J965))</f>
        <v>BLANCA ALICIA IBARRA MENDOZA</v>
      </c>
      <c r="L11" s="153"/>
      <c r="M11" s="14"/>
    </row>
    <row r="12" spans="1:13" ht="20.25" customHeight="1"/>
    <row r="13" spans="1:13" ht="20.25" customHeight="1">
      <c r="F13" s="7">
        <f>LOOKUP($A$1,MATRIMONIO!$A$5:L965)</f>
        <v>1</v>
      </c>
      <c r="H13" s="7"/>
      <c r="I13" s="7">
        <f>LOOKUP($A$1,MATRIMONIO!$A$5:M965)</f>
        <v>42</v>
      </c>
      <c r="J13" s="7"/>
      <c r="K13" s="5"/>
      <c r="L13" s="5"/>
    </row>
    <row r="14" spans="1:13" ht="20.25" customHeight="1">
      <c r="F14" s="7">
        <f>LOOKUP($A$1,MATRIMONIO!$A$5:N965)</f>
        <v>83</v>
      </c>
      <c r="H14" s="7"/>
      <c r="I14" s="6"/>
      <c r="J14" s="6"/>
      <c r="L14" s="7" t="s">
        <v>1220</v>
      </c>
    </row>
    <row r="15" spans="1:13" ht="22.5" customHeight="1">
      <c r="H15" s="7"/>
      <c r="I15" s="6"/>
      <c r="J15" s="6"/>
    </row>
    <row r="20" spans="3:12">
      <c r="C20" s="17" t="s">
        <v>2389</v>
      </c>
      <c r="D20" s="17"/>
      <c r="E20" s="17"/>
      <c r="F20" s="17"/>
      <c r="G20" s="17"/>
      <c r="H20" s="17"/>
      <c r="I20" s="17"/>
      <c r="J20" s="17"/>
      <c r="K20" s="17"/>
      <c r="L20" s="17"/>
    </row>
  </sheetData>
  <mergeCells count="5">
    <mergeCell ref="C3:L3"/>
    <mergeCell ref="C9:I9"/>
    <mergeCell ref="K9:L9"/>
    <mergeCell ref="K11:L11"/>
    <mergeCell ref="C11:I11"/>
  </mergeCells>
  <phoneticPr fontId="18" type="noConversion"/>
  <pageMargins left="0.16" right="0.22" top="1.54" bottom="0.75" header="0.16" footer="0.3"/>
  <pageSetup scale="90" orientation="portrait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A3:S839"/>
  <sheetViews>
    <sheetView topLeftCell="A815" workbookViewId="0">
      <selection activeCell="A842" sqref="A842:XFD842"/>
    </sheetView>
  </sheetViews>
  <sheetFormatPr baseColWidth="10" defaultRowHeight="12.75"/>
  <cols>
    <col min="1" max="1" width="8" customWidth="1"/>
    <col min="2" max="2" width="5.28515625" customWidth="1"/>
    <col min="3" max="3" width="47" customWidth="1"/>
    <col min="4" max="4" width="5.42578125" customWidth="1"/>
    <col min="5" max="6" width="8.28515625" customWidth="1"/>
    <col min="7" max="7" width="44" customWidth="1"/>
    <col min="8" max="8" width="42.42578125" customWidth="1"/>
    <col min="9" max="9" width="73.5703125" customWidth="1"/>
    <col min="10" max="10" width="44.5703125" customWidth="1"/>
    <col min="11" max="11" width="21.7109375" customWidth="1"/>
    <col min="12" max="12" width="12.28515625" bestFit="1" customWidth="1"/>
    <col min="17" max="18" width="0" hidden="1" customWidth="1"/>
    <col min="19" max="19" width="11.42578125" hidden="1" customWidth="1"/>
    <col min="20" max="21" width="0" hidden="1" customWidth="1"/>
  </cols>
  <sheetData>
    <row r="3" spans="1:19" ht="20.25">
      <c r="C3" s="21" t="s">
        <v>1246</v>
      </c>
    </row>
    <row r="5" spans="1:19" s="39" customFormat="1">
      <c r="C5" s="55"/>
      <c r="F5" s="58"/>
      <c r="J5" s="55"/>
      <c r="K5" s="55"/>
      <c r="R5" s="39">
        <v>1</v>
      </c>
      <c r="S5" s="55" t="s">
        <v>13</v>
      </c>
    </row>
    <row r="6" spans="1:19" ht="18">
      <c r="C6" s="76" t="s">
        <v>1247</v>
      </c>
    </row>
    <row r="7" spans="1:19">
      <c r="C7" s="10" t="s">
        <v>25</v>
      </c>
      <c r="D7" s="62" t="s">
        <v>10</v>
      </c>
      <c r="E7" s="62" t="s">
        <v>11</v>
      </c>
      <c r="F7" s="62" t="s">
        <v>12</v>
      </c>
      <c r="G7" s="2" t="s">
        <v>27</v>
      </c>
      <c r="H7" s="2" t="s">
        <v>26</v>
      </c>
      <c r="I7" s="2" t="s">
        <v>28</v>
      </c>
      <c r="J7" s="2" t="s">
        <v>9</v>
      </c>
      <c r="K7" s="64"/>
    </row>
    <row r="8" spans="1:19">
      <c r="A8">
        <v>1</v>
      </c>
      <c r="B8">
        <v>1</v>
      </c>
      <c r="C8" s="12" t="s">
        <v>145</v>
      </c>
      <c r="D8">
        <v>26</v>
      </c>
      <c r="E8" s="12" t="s">
        <v>17</v>
      </c>
      <c r="F8">
        <v>2023</v>
      </c>
      <c r="G8" s="12" t="s">
        <v>146</v>
      </c>
      <c r="H8" s="12" t="s">
        <v>147</v>
      </c>
      <c r="I8" s="12" t="s">
        <v>148</v>
      </c>
      <c r="J8" s="12" t="s">
        <v>149</v>
      </c>
    </row>
    <row r="9" spans="1:19">
      <c r="A9">
        <v>2</v>
      </c>
      <c r="B9">
        <v>2</v>
      </c>
      <c r="C9" s="12" t="s">
        <v>150</v>
      </c>
      <c r="D9">
        <v>26</v>
      </c>
      <c r="E9" s="12" t="s">
        <v>17</v>
      </c>
      <c r="F9">
        <v>2023</v>
      </c>
      <c r="G9" s="12" t="s">
        <v>151</v>
      </c>
      <c r="H9" s="12" t="s">
        <v>152</v>
      </c>
      <c r="I9" s="12" t="s">
        <v>163</v>
      </c>
      <c r="J9" s="12" t="s">
        <v>149</v>
      </c>
    </row>
    <row r="10" spans="1:19">
      <c r="A10">
        <v>3</v>
      </c>
      <c r="B10">
        <v>3</v>
      </c>
      <c r="C10" s="12" t="s">
        <v>976</v>
      </c>
      <c r="D10">
        <v>26</v>
      </c>
      <c r="E10" s="12" t="s">
        <v>17</v>
      </c>
      <c r="F10">
        <v>2023</v>
      </c>
      <c r="G10" s="12" t="s">
        <v>977</v>
      </c>
      <c r="H10" s="12" t="s">
        <v>153</v>
      </c>
      <c r="I10" s="12" t="s">
        <v>154</v>
      </c>
      <c r="J10" s="12" t="s">
        <v>149</v>
      </c>
    </row>
    <row r="11" spans="1:19">
      <c r="A11">
        <v>4</v>
      </c>
      <c r="B11">
        <v>4</v>
      </c>
      <c r="C11" s="12" t="s">
        <v>155</v>
      </c>
      <c r="D11">
        <v>26</v>
      </c>
      <c r="E11" s="12" t="s">
        <v>17</v>
      </c>
      <c r="F11">
        <v>2023</v>
      </c>
      <c r="G11" s="12" t="s">
        <v>156</v>
      </c>
      <c r="H11" s="12" t="s">
        <v>157</v>
      </c>
      <c r="I11" s="12" t="s">
        <v>158</v>
      </c>
      <c r="J11" s="12" t="s">
        <v>149</v>
      </c>
    </row>
    <row r="12" spans="1:19">
      <c r="A12">
        <v>5</v>
      </c>
      <c r="B12">
        <v>5</v>
      </c>
      <c r="C12" s="12" t="s">
        <v>159</v>
      </c>
      <c r="D12">
        <v>26</v>
      </c>
      <c r="E12" s="12" t="s">
        <v>17</v>
      </c>
      <c r="F12">
        <v>2023</v>
      </c>
      <c r="G12" s="12" t="s">
        <v>160</v>
      </c>
      <c r="H12" s="12" t="s">
        <v>161</v>
      </c>
      <c r="I12" s="12" t="s">
        <v>162</v>
      </c>
      <c r="J12" s="12" t="s">
        <v>149</v>
      </c>
    </row>
    <row r="13" spans="1:19">
      <c r="A13">
        <v>6</v>
      </c>
      <c r="B13">
        <v>6</v>
      </c>
      <c r="C13" s="12" t="s">
        <v>164</v>
      </c>
      <c r="D13">
        <v>26</v>
      </c>
      <c r="E13" s="12" t="s">
        <v>17</v>
      </c>
      <c r="F13">
        <v>2023</v>
      </c>
      <c r="G13" s="12" t="s">
        <v>165</v>
      </c>
      <c r="H13" s="12" t="s">
        <v>166</v>
      </c>
      <c r="I13" s="12" t="s">
        <v>167</v>
      </c>
      <c r="J13" s="12" t="s">
        <v>149</v>
      </c>
    </row>
    <row r="14" spans="1:19">
      <c r="A14">
        <v>7</v>
      </c>
      <c r="B14">
        <v>7</v>
      </c>
      <c r="C14" s="12" t="s">
        <v>168</v>
      </c>
      <c r="D14">
        <v>26</v>
      </c>
      <c r="E14" s="12" t="s">
        <v>17</v>
      </c>
      <c r="F14">
        <v>2023</v>
      </c>
      <c r="G14" s="12" t="s">
        <v>165</v>
      </c>
      <c r="H14" s="12" t="s">
        <v>166</v>
      </c>
      <c r="I14" s="12" t="s">
        <v>169</v>
      </c>
      <c r="J14" s="12" t="s">
        <v>149</v>
      </c>
    </row>
    <row r="15" spans="1:19">
      <c r="A15">
        <v>8</v>
      </c>
      <c r="B15">
        <v>8</v>
      </c>
      <c r="C15" s="12" t="s">
        <v>170</v>
      </c>
      <c r="D15">
        <v>26</v>
      </c>
      <c r="E15" s="12" t="s">
        <v>17</v>
      </c>
      <c r="F15">
        <v>2023</v>
      </c>
      <c r="G15" s="12" t="s">
        <v>171</v>
      </c>
      <c r="H15" s="12" t="s">
        <v>1110</v>
      </c>
      <c r="I15" s="12" t="s">
        <v>172</v>
      </c>
      <c r="J15" s="12" t="s">
        <v>149</v>
      </c>
    </row>
    <row r="16" spans="1:19">
      <c r="A16">
        <v>9</v>
      </c>
      <c r="B16">
        <v>9</v>
      </c>
      <c r="C16" s="12" t="s">
        <v>173</v>
      </c>
      <c r="D16">
        <v>26</v>
      </c>
      <c r="E16" s="12" t="s">
        <v>17</v>
      </c>
      <c r="F16">
        <v>2023</v>
      </c>
      <c r="G16" s="12" t="s">
        <v>174</v>
      </c>
      <c r="H16" s="12" t="s">
        <v>175</v>
      </c>
      <c r="I16" s="12" t="s">
        <v>176</v>
      </c>
      <c r="J16" s="12" t="s">
        <v>149</v>
      </c>
    </row>
    <row r="17" spans="1:11">
      <c r="A17">
        <v>10</v>
      </c>
      <c r="B17">
        <v>10</v>
      </c>
      <c r="C17" s="12" t="s">
        <v>177</v>
      </c>
      <c r="D17">
        <v>26</v>
      </c>
      <c r="E17" s="12" t="s">
        <v>17</v>
      </c>
      <c r="F17">
        <v>2023</v>
      </c>
      <c r="G17" s="12" t="s">
        <v>178</v>
      </c>
      <c r="H17" s="12" t="s">
        <v>179</v>
      </c>
      <c r="I17" s="12" t="s">
        <v>180</v>
      </c>
      <c r="J17" s="12" t="s">
        <v>149</v>
      </c>
    </row>
    <row r="18" spans="1:11">
      <c r="A18">
        <v>11</v>
      </c>
      <c r="B18">
        <v>11</v>
      </c>
      <c r="C18" s="12" t="s">
        <v>181</v>
      </c>
      <c r="D18">
        <v>26</v>
      </c>
      <c r="E18" s="12" t="s">
        <v>17</v>
      </c>
      <c r="F18">
        <v>2023</v>
      </c>
      <c r="G18" s="12" t="s">
        <v>182</v>
      </c>
      <c r="H18" s="12" t="s">
        <v>183</v>
      </c>
      <c r="I18" s="12" t="s">
        <v>184</v>
      </c>
      <c r="J18" s="12" t="s">
        <v>149</v>
      </c>
    </row>
    <row r="19" spans="1:11">
      <c r="A19">
        <v>12</v>
      </c>
      <c r="B19">
        <v>12</v>
      </c>
      <c r="C19" s="12" t="s">
        <v>185</v>
      </c>
      <c r="D19">
        <v>26</v>
      </c>
      <c r="E19" s="12" t="s">
        <v>17</v>
      </c>
      <c r="F19">
        <v>2023</v>
      </c>
      <c r="G19" s="12" t="s">
        <v>974</v>
      </c>
      <c r="H19" s="12" t="s">
        <v>186</v>
      </c>
      <c r="I19" s="12" t="s">
        <v>975</v>
      </c>
      <c r="J19" s="12" t="s">
        <v>149</v>
      </c>
    </row>
    <row r="20" spans="1:11">
      <c r="A20">
        <v>13</v>
      </c>
      <c r="B20">
        <v>13</v>
      </c>
      <c r="C20" s="12" t="s">
        <v>187</v>
      </c>
      <c r="D20">
        <v>26</v>
      </c>
      <c r="E20" s="12" t="s">
        <v>17</v>
      </c>
      <c r="F20">
        <v>2023</v>
      </c>
      <c r="G20" s="12" t="s">
        <v>188</v>
      </c>
      <c r="H20" s="12" t="s">
        <v>217</v>
      </c>
      <c r="I20" s="12" t="s">
        <v>214</v>
      </c>
      <c r="J20" s="12" t="s">
        <v>149</v>
      </c>
    </row>
    <row r="21" spans="1:11">
      <c r="A21">
        <v>14</v>
      </c>
      <c r="B21">
        <v>14</v>
      </c>
      <c r="C21" s="12" t="s">
        <v>189</v>
      </c>
      <c r="D21">
        <v>26</v>
      </c>
      <c r="E21" s="12" t="s">
        <v>17</v>
      </c>
      <c r="F21">
        <v>2023</v>
      </c>
      <c r="G21" s="12" t="s">
        <v>190</v>
      </c>
      <c r="H21" s="12" t="s">
        <v>191</v>
      </c>
      <c r="I21" s="12" t="s">
        <v>222</v>
      </c>
      <c r="J21" s="12" t="s">
        <v>149</v>
      </c>
    </row>
    <row r="22" spans="1:11">
      <c r="A22">
        <v>15</v>
      </c>
      <c r="B22">
        <v>15</v>
      </c>
      <c r="C22" s="12" t="s">
        <v>192</v>
      </c>
      <c r="D22">
        <v>26</v>
      </c>
      <c r="E22" s="12" t="s">
        <v>17</v>
      </c>
      <c r="F22">
        <v>2023</v>
      </c>
      <c r="G22" s="12" t="s">
        <v>193</v>
      </c>
      <c r="H22" s="12" t="s">
        <v>194</v>
      </c>
      <c r="I22" s="12" t="s">
        <v>195</v>
      </c>
      <c r="J22" s="12" t="s">
        <v>149</v>
      </c>
    </row>
    <row r="23" spans="1:11">
      <c r="A23">
        <v>16</v>
      </c>
      <c r="B23">
        <v>16</v>
      </c>
      <c r="C23" s="12" t="s">
        <v>196</v>
      </c>
      <c r="D23">
        <v>26</v>
      </c>
      <c r="E23" s="12" t="s">
        <v>17</v>
      </c>
      <c r="F23">
        <v>2023</v>
      </c>
      <c r="G23" s="12" t="s">
        <v>197</v>
      </c>
      <c r="H23" s="12" t="s">
        <v>198</v>
      </c>
      <c r="I23" s="12" t="s">
        <v>199</v>
      </c>
      <c r="J23" s="12" t="s">
        <v>149</v>
      </c>
    </row>
    <row r="24" spans="1:11">
      <c r="A24">
        <v>17</v>
      </c>
      <c r="B24">
        <v>17</v>
      </c>
      <c r="C24" s="12" t="s">
        <v>200</v>
      </c>
      <c r="D24">
        <v>26</v>
      </c>
      <c r="E24" s="12" t="s">
        <v>17</v>
      </c>
      <c r="F24">
        <v>2023</v>
      </c>
      <c r="G24" s="12" t="s">
        <v>201</v>
      </c>
      <c r="H24" s="12" t="s">
        <v>202</v>
      </c>
      <c r="I24" s="12" t="s">
        <v>203</v>
      </c>
      <c r="J24" s="12" t="s">
        <v>149</v>
      </c>
    </row>
    <row r="25" spans="1:11">
      <c r="A25">
        <v>18</v>
      </c>
      <c r="B25">
        <v>18</v>
      </c>
      <c r="C25" s="12" t="s">
        <v>204</v>
      </c>
      <c r="D25">
        <v>26</v>
      </c>
      <c r="E25" s="12" t="s">
        <v>17</v>
      </c>
      <c r="F25">
        <v>2023</v>
      </c>
      <c r="G25" s="12" t="s">
        <v>205</v>
      </c>
      <c r="H25" s="12" t="s">
        <v>206</v>
      </c>
      <c r="I25" s="12" t="s">
        <v>207</v>
      </c>
      <c r="J25" s="12" t="s">
        <v>149</v>
      </c>
    </row>
    <row r="26" spans="1:11">
      <c r="A26">
        <v>19</v>
      </c>
      <c r="B26">
        <v>19</v>
      </c>
      <c r="C26" s="12" t="s">
        <v>209</v>
      </c>
      <c r="D26">
        <v>26</v>
      </c>
      <c r="E26" s="12" t="s">
        <v>17</v>
      </c>
      <c r="F26">
        <v>2023</v>
      </c>
      <c r="G26" s="12" t="s">
        <v>208</v>
      </c>
      <c r="H26" s="12" t="s">
        <v>210</v>
      </c>
      <c r="I26" s="12" t="s">
        <v>211</v>
      </c>
      <c r="J26" s="12" t="s">
        <v>149</v>
      </c>
    </row>
    <row r="27" spans="1:11">
      <c r="A27">
        <v>20</v>
      </c>
      <c r="B27">
        <v>20</v>
      </c>
      <c r="C27" s="12" t="s">
        <v>212</v>
      </c>
      <c r="D27">
        <v>26</v>
      </c>
      <c r="E27" s="12" t="s">
        <v>17</v>
      </c>
      <c r="F27">
        <v>2023</v>
      </c>
      <c r="G27" s="12" t="s">
        <v>213</v>
      </c>
      <c r="H27" s="12" t="s">
        <v>215</v>
      </c>
      <c r="I27" s="12" t="s">
        <v>214</v>
      </c>
      <c r="J27" s="12" t="s">
        <v>149</v>
      </c>
    </row>
    <row r="28" spans="1:11">
      <c r="A28">
        <v>21</v>
      </c>
      <c r="B28">
        <v>21</v>
      </c>
      <c r="C28" s="12" t="s">
        <v>216</v>
      </c>
      <c r="D28">
        <v>26</v>
      </c>
      <c r="E28" s="12" t="s">
        <v>17</v>
      </c>
      <c r="F28">
        <v>2023</v>
      </c>
      <c r="G28" s="12" t="s">
        <v>188</v>
      </c>
      <c r="H28" s="12" t="s">
        <v>217</v>
      </c>
      <c r="I28" s="12" t="s">
        <v>218</v>
      </c>
      <c r="J28" s="12" t="s">
        <v>149</v>
      </c>
    </row>
    <row r="29" spans="1:11">
      <c r="A29">
        <v>22</v>
      </c>
      <c r="B29">
        <v>22</v>
      </c>
      <c r="C29" s="12" t="s">
        <v>219</v>
      </c>
      <c r="D29">
        <v>26</v>
      </c>
      <c r="E29" s="12" t="s">
        <v>17</v>
      </c>
      <c r="F29">
        <v>2023</v>
      </c>
      <c r="G29" s="12" t="s">
        <v>220</v>
      </c>
      <c r="H29" s="12" t="s">
        <v>223</v>
      </c>
      <c r="I29" s="12" t="s">
        <v>221</v>
      </c>
      <c r="J29" s="12" t="s">
        <v>149</v>
      </c>
    </row>
    <row r="30" spans="1:11">
      <c r="D30" t="s">
        <v>40</v>
      </c>
      <c r="E30" s="12"/>
    </row>
    <row r="31" spans="1:11" ht="18">
      <c r="C31" s="76" t="s">
        <v>1248</v>
      </c>
      <c r="E31" s="12"/>
    </row>
    <row r="32" spans="1:11">
      <c r="C32" s="10" t="s">
        <v>25</v>
      </c>
      <c r="D32" s="62" t="s">
        <v>10</v>
      </c>
      <c r="E32" s="62" t="s">
        <v>11</v>
      </c>
      <c r="F32" s="62" t="s">
        <v>12</v>
      </c>
      <c r="G32" s="2" t="s">
        <v>27</v>
      </c>
      <c r="H32" s="2" t="s">
        <v>26</v>
      </c>
      <c r="I32" s="2" t="s">
        <v>28</v>
      </c>
      <c r="J32" s="2" t="s">
        <v>9</v>
      </c>
      <c r="K32" s="64"/>
    </row>
    <row r="33" spans="1:10">
      <c r="A33">
        <v>1</v>
      </c>
      <c r="B33">
        <v>23</v>
      </c>
      <c r="C33" s="12" t="s">
        <v>229</v>
      </c>
      <c r="D33">
        <v>13</v>
      </c>
      <c r="E33" s="12" t="s">
        <v>17</v>
      </c>
      <c r="F33">
        <v>2023</v>
      </c>
      <c r="G33" s="12" t="s">
        <v>230</v>
      </c>
      <c r="H33" s="12" t="s">
        <v>231</v>
      </c>
      <c r="I33" s="12" t="s">
        <v>232</v>
      </c>
      <c r="J33" s="12" t="s">
        <v>149</v>
      </c>
    </row>
    <row r="34" spans="1:10">
      <c r="A34">
        <v>2</v>
      </c>
      <c r="B34">
        <v>24</v>
      </c>
      <c r="C34" s="12" t="s">
        <v>233</v>
      </c>
      <c r="D34">
        <v>13</v>
      </c>
      <c r="E34" s="12" t="s">
        <v>234</v>
      </c>
      <c r="F34">
        <v>2023</v>
      </c>
      <c r="G34" s="12" t="s">
        <v>235</v>
      </c>
      <c r="H34" s="12" t="s">
        <v>237</v>
      </c>
      <c r="I34" s="12" t="s">
        <v>236</v>
      </c>
      <c r="J34" s="12" t="s">
        <v>149</v>
      </c>
    </row>
    <row r="35" spans="1:10">
      <c r="A35">
        <v>3</v>
      </c>
      <c r="B35">
        <v>25</v>
      </c>
      <c r="C35" s="12" t="s">
        <v>238</v>
      </c>
      <c r="D35">
        <v>13</v>
      </c>
      <c r="E35" s="12" t="s">
        <v>234</v>
      </c>
      <c r="F35">
        <v>2023</v>
      </c>
      <c r="G35" s="12" t="s">
        <v>239</v>
      </c>
      <c r="H35" s="12" t="s">
        <v>240</v>
      </c>
      <c r="I35" s="12" t="s">
        <v>241</v>
      </c>
      <c r="J35" s="12" t="s">
        <v>149</v>
      </c>
    </row>
    <row r="36" spans="1:10">
      <c r="A36">
        <v>4</v>
      </c>
      <c r="B36">
        <v>26</v>
      </c>
      <c r="C36" s="12" t="s">
        <v>242</v>
      </c>
      <c r="D36">
        <v>13</v>
      </c>
      <c r="E36" s="12" t="s">
        <v>234</v>
      </c>
      <c r="F36">
        <v>2023</v>
      </c>
      <c r="G36" s="12" t="s">
        <v>243</v>
      </c>
      <c r="H36" s="12" t="s">
        <v>244</v>
      </c>
      <c r="I36" s="12" t="s">
        <v>249</v>
      </c>
      <c r="J36" s="12" t="s">
        <v>149</v>
      </c>
    </row>
    <row r="37" spans="1:10">
      <c r="A37">
        <v>5</v>
      </c>
      <c r="B37">
        <v>27</v>
      </c>
      <c r="C37" s="12" t="s">
        <v>246</v>
      </c>
      <c r="D37">
        <v>13</v>
      </c>
      <c r="E37" s="12" t="s">
        <v>234</v>
      </c>
      <c r="F37">
        <v>2023</v>
      </c>
      <c r="G37" s="12" t="s">
        <v>248</v>
      </c>
      <c r="H37" s="12" t="s">
        <v>247</v>
      </c>
      <c r="I37" s="12" t="s">
        <v>245</v>
      </c>
      <c r="J37" s="12" t="s">
        <v>149</v>
      </c>
    </row>
    <row r="38" spans="1:10">
      <c r="A38">
        <v>6</v>
      </c>
      <c r="B38">
        <v>28</v>
      </c>
      <c r="C38" s="12" t="s">
        <v>250</v>
      </c>
      <c r="D38">
        <v>13</v>
      </c>
      <c r="E38" s="12" t="s">
        <v>234</v>
      </c>
      <c r="F38">
        <v>2023</v>
      </c>
      <c r="G38" s="12" t="s">
        <v>251</v>
      </c>
      <c r="H38" s="12" t="s">
        <v>252</v>
      </c>
      <c r="I38" s="12" t="s">
        <v>253</v>
      </c>
      <c r="J38" s="12" t="s">
        <v>149</v>
      </c>
    </row>
    <row r="39" spans="1:10">
      <c r="A39">
        <v>7</v>
      </c>
      <c r="B39">
        <v>29</v>
      </c>
      <c r="C39" s="12" t="s">
        <v>254</v>
      </c>
      <c r="D39">
        <v>13</v>
      </c>
      <c r="E39" s="12" t="s">
        <v>234</v>
      </c>
      <c r="F39">
        <v>2023</v>
      </c>
      <c r="G39" s="12" t="s">
        <v>255</v>
      </c>
      <c r="H39" s="12" t="s">
        <v>256</v>
      </c>
      <c r="I39" s="12" t="s">
        <v>257</v>
      </c>
      <c r="J39" s="12" t="s">
        <v>149</v>
      </c>
    </row>
    <row r="40" spans="1:10">
      <c r="A40">
        <v>8</v>
      </c>
      <c r="B40">
        <v>30</v>
      </c>
      <c r="C40" s="12" t="s">
        <v>258</v>
      </c>
      <c r="D40">
        <v>13</v>
      </c>
      <c r="E40" s="12" t="s">
        <v>234</v>
      </c>
      <c r="F40">
        <v>2023</v>
      </c>
      <c r="G40" s="12" t="s">
        <v>259</v>
      </c>
      <c r="H40" s="12" t="s">
        <v>260</v>
      </c>
      <c r="I40" s="12" t="s">
        <v>261</v>
      </c>
      <c r="J40" s="12" t="s">
        <v>149</v>
      </c>
    </row>
    <row r="41" spans="1:10">
      <c r="A41">
        <v>9</v>
      </c>
      <c r="B41">
        <v>31</v>
      </c>
      <c r="C41" s="12" t="s">
        <v>262</v>
      </c>
      <c r="D41">
        <v>13</v>
      </c>
      <c r="E41" s="12" t="s">
        <v>234</v>
      </c>
      <c r="F41">
        <v>2023</v>
      </c>
      <c r="G41" s="12" t="s">
        <v>263</v>
      </c>
      <c r="H41" s="12" t="s">
        <v>264</v>
      </c>
      <c r="I41" s="12" t="s">
        <v>265</v>
      </c>
      <c r="J41" s="12" t="s">
        <v>149</v>
      </c>
    </row>
    <row r="42" spans="1:10">
      <c r="A42">
        <v>10</v>
      </c>
      <c r="B42">
        <v>32</v>
      </c>
      <c r="C42" s="12" t="s">
        <v>266</v>
      </c>
      <c r="D42">
        <v>13</v>
      </c>
      <c r="E42" s="12" t="s">
        <v>234</v>
      </c>
      <c r="F42">
        <v>2023</v>
      </c>
      <c r="G42" s="12" t="s">
        <v>268</v>
      </c>
      <c r="H42" s="12" t="s">
        <v>267</v>
      </c>
      <c r="I42" s="12" t="s">
        <v>269</v>
      </c>
      <c r="J42" s="12" t="s">
        <v>149</v>
      </c>
    </row>
    <row r="43" spans="1:10">
      <c r="A43">
        <v>11</v>
      </c>
      <c r="B43">
        <v>33</v>
      </c>
      <c r="C43" s="12" t="s">
        <v>270</v>
      </c>
      <c r="D43">
        <v>13</v>
      </c>
      <c r="E43" s="12" t="s">
        <v>234</v>
      </c>
      <c r="F43">
        <v>2023</v>
      </c>
      <c r="G43" s="12" t="s">
        <v>271</v>
      </c>
      <c r="H43" s="12" t="s">
        <v>272</v>
      </c>
      <c r="I43" s="12" t="s">
        <v>273</v>
      </c>
      <c r="J43" s="12" t="s">
        <v>149</v>
      </c>
    </row>
    <row r="44" spans="1:10">
      <c r="A44">
        <v>12</v>
      </c>
      <c r="B44">
        <v>34</v>
      </c>
      <c r="C44" s="12" t="s">
        <v>274</v>
      </c>
      <c r="D44">
        <v>13</v>
      </c>
      <c r="E44" s="12" t="s">
        <v>234</v>
      </c>
      <c r="F44">
        <v>2023</v>
      </c>
      <c r="G44" s="12" t="s">
        <v>275</v>
      </c>
      <c r="H44" s="12" t="s">
        <v>276</v>
      </c>
      <c r="I44" s="12" t="s">
        <v>277</v>
      </c>
      <c r="J44" s="12" t="s">
        <v>149</v>
      </c>
    </row>
    <row r="45" spans="1:10">
      <c r="A45">
        <v>13</v>
      </c>
      <c r="B45">
        <v>35</v>
      </c>
      <c r="C45" s="12" t="s">
        <v>278</v>
      </c>
      <c r="D45">
        <v>13</v>
      </c>
      <c r="E45" s="12" t="s">
        <v>234</v>
      </c>
      <c r="F45">
        <v>2023</v>
      </c>
      <c r="H45" s="12" t="s">
        <v>279</v>
      </c>
      <c r="I45" s="12" t="s">
        <v>328</v>
      </c>
      <c r="J45" s="12" t="s">
        <v>149</v>
      </c>
    </row>
    <row r="46" spans="1:10">
      <c r="A46">
        <v>14</v>
      </c>
      <c r="B46">
        <v>36</v>
      </c>
      <c r="C46" s="12" t="s">
        <v>280</v>
      </c>
      <c r="D46">
        <v>13</v>
      </c>
      <c r="E46" s="12" t="s">
        <v>234</v>
      </c>
      <c r="F46">
        <v>2023</v>
      </c>
      <c r="H46" s="12" t="s">
        <v>281</v>
      </c>
      <c r="I46" s="12" t="s">
        <v>243</v>
      </c>
      <c r="J46" s="12" t="s">
        <v>149</v>
      </c>
    </row>
    <row r="47" spans="1:10">
      <c r="A47">
        <v>15</v>
      </c>
      <c r="B47">
        <v>37</v>
      </c>
      <c r="C47" s="12" t="s">
        <v>282</v>
      </c>
      <c r="D47">
        <v>13</v>
      </c>
      <c r="E47" s="12" t="s">
        <v>234</v>
      </c>
      <c r="F47">
        <v>2023</v>
      </c>
      <c r="G47" s="12" t="s">
        <v>283</v>
      </c>
      <c r="H47" s="12" t="s">
        <v>284</v>
      </c>
      <c r="I47" s="12" t="s">
        <v>285</v>
      </c>
      <c r="J47" s="12" t="s">
        <v>149</v>
      </c>
    </row>
    <row r="48" spans="1:10">
      <c r="A48">
        <v>16</v>
      </c>
      <c r="B48">
        <v>38</v>
      </c>
      <c r="C48" s="12" t="s">
        <v>286</v>
      </c>
      <c r="D48">
        <v>13</v>
      </c>
      <c r="E48" s="12" t="s">
        <v>234</v>
      </c>
      <c r="F48">
        <v>2023</v>
      </c>
      <c r="G48" s="12" t="s">
        <v>235</v>
      </c>
      <c r="H48" s="12" t="s">
        <v>237</v>
      </c>
      <c r="I48" s="12" t="s">
        <v>287</v>
      </c>
      <c r="J48" s="12" t="s">
        <v>149</v>
      </c>
    </row>
    <row r="49" spans="1:11">
      <c r="A49">
        <v>17</v>
      </c>
      <c r="B49">
        <v>39</v>
      </c>
      <c r="C49" s="12" t="s">
        <v>288</v>
      </c>
      <c r="D49">
        <v>13</v>
      </c>
      <c r="E49" s="12" t="s">
        <v>234</v>
      </c>
      <c r="F49">
        <v>2023</v>
      </c>
      <c r="G49" s="12" t="s">
        <v>289</v>
      </c>
      <c r="H49" s="12" t="s">
        <v>290</v>
      </c>
      <c r="I49" s="12" t="s">
        <v>291</v>
      </c>
      <c r="J49" s="12" t="s">
        <v>149</v>
      </c>
    </row>
    <row r="50" spans="1:11">
      <c r="A50">
        <v>18</v>
      </c>
      <c r="B50">
        <v>40</v>
      </c>
      <c r="C50" s="12" t="s">
        <v>292</v>
      </c>
      <c r="D50">
        <v>13</v>
      </c>
      <c r="E50" s="12" t="s">
        <v>234</v>
      </c>
      <c r="F50">
        <v>2023</v>
      </c>
      <c r="G50" s="12" t="s">
        <v>293</v>
      </c>
      <c r="H50" s="12" t="s">
        <v>294</v>
      </c>
      <c r="I50" s="12" t="s">
        <v>303</v>
      </c>
      <c r="J50" s="12" t="s">
        <v>149</v>
      </c>
    </row>
    <row r="51" spans="1:11">
      <c r="A51">
        <v>19</v>
      </c>
      <c r="B51">
        <v>41</v>
      </c>
      <c r="C51" s="12" t="s">
        <v>295</v>
      </c>
      <c r="D51">
        <v>13</v>
      </c>
      <c r="E51" s="12" t="s">
        <v>234</v>
      </c>
      <c r="F51">
        <v>2023</v>
      </c>
      <c r="G51" s="12" t="s">
        <v>296</v>
      </c>
      <c r="H51" s="12" t="s">
        <v>297</v>
      </c>
      <c r="I51" s="12" t="s">
        <v>329</v>
      </c>
      <c r="J51" s="12" t="s">
        <v>149</v>
      </c>
    </row>
    <row r="52" spans="1:11">
      <c r="A52">
        <v>20</v>
      </c>
      <c r="B52">
        <v>42</v>
      </c>
      <c r="C52" s="12" t="s">
        <v>298</v>
      </c>
      <c r="D52">
        <v>13</v>
      </c>
      <c r="E52" s="12" t="s">
        <v>234</v>
      </c>
      <c r="F52">
        <v>2023</v>
      </c>
      <c r="G52" s="12" t="s">
        <v>299</v>
      </c>
      <c r="H52" s="12" t="s">
        <v>300</v>
      </c>
      <c r="I52" s="12" t="s">
        <v>301</v>
      </c>
      <c r="J52" s="12" t="s">
        <v>149</v>
      </c>
    </row>
    <row r="53" spans="1:11">
      <c r="A53">
        <v>21</v>
      </c>
      <c r="B53">
        <v>43</v>
      </c>
      <c r="C53" s="12" t="s">
        <v>305</v>
      </c>
      <c r="D53">
        <v>13</v>
      </c>
      <c r="E53" s="12" t="s">
        <v>234</v>
      </c>
      <c r="F53">
        <v>2023</v>
      </c>
      <c r="G53" s="12" t="s">
        <v>302</v>
      </c>
      <c r="H53" s="12" t="s">
        <v>303</v>
      </c>
      <c r="I53" s="12" t="s">
        <v>304</v>
      </c>
      <c r="J53" s="12" t="s">
        <v>149</v>
      </c>
    </row>
    <row r="54" spans="1:11">
      <c r="A54">
        <v>22</v>
      </c>
      <c r="B54">
        <v>44</v>
      </c>
      <c r="C54" s="12" t="s">
        <v>306</v>
      </c>
      <c r="D54">
        <v>13</v>
      </c>
      <c r="E54" s="12" t="s">
        <v>234</v>
      </c>
      <c r="F54">
        <v>2023</v>
      </c>
      <c r="G54" s="12" t="s">
        <v>275</v>
      </c>
      <c r="H54" s="12" t="s">
        <v>276</v>
      </c>
      <c r="I54" s="12" t="s">
        <v>307</v>
      </c>
      <c r="J54" s="12" t="s">
        <v>149</v>
      </c>
    </row>
    <row r="55" spans="1:11">
      <c r="A55">
        <v>23</v>
      </c>
      <c r="B55">
        <v>45</v>
      </c>
      <c r="C55" s="12" t="s">
        <v>308</v>
      </c>
      <c r="D55">
        <v>13</v>
      </c>
      <c r="E55" s="12" t="s">
        <v>234</v>
      </c>
      <c r="F55">
        <v>2023</v>
      </c>
      <c r="G55" s="12" t="s">
        <v>309</v>
      </c>
      <c r="H55" s="12" t="s">
        <v>310</v>
      </c>
      <c r="I55" s="12" t="s">
        <v>311</v>
      </c>
      <c r="J55" s="12" t="s">
        <v>149</v>
      </c>
    </row>
    <row r="56" spans="1:11">
      <c r="A56">
        <v>24</v>
      </c>
      <c r="B56">
        <v>46</v>
      </c>
      <c r="C56" s="12" t="s">
        <v>312</v>
      </c>
      <c r="D56">
        <v>13</v>
      </c>
      <c r="E56" s="12" t="s">
        <v>234</v>
      </c>
      <c r="F56">
        <v>2023</v>
      </c>
      <c r="G56" s="12" t="s">
        <v>313</v>
      </c>
      <c r="H56" s="12" t="s">
        <v>314</v>
      </c>
      <c r="I56" s="12" t="s">
        <v>315</v>
      </c>
      <c r="J56" s="12" t="s">
        <v>149</v>
      </c>
    </row>
    <row r="57" spans="1:11">
      <c r="A57">
        <v>25</v>
      </c>
      <c r="B57">
        <v>47</v>
      </c>
      <c r="C57" s="12" t="s">
        <v>330</v>
      </c>
      <c r="D57">
        <v>13</v>
      </c>
      <c r="E57" s="12" t="s">
        <v>234</v>
      </c>
      <c r="F57">
        <v>2023</v>
      </c>
      <c r="G57" s="12" t="s">
        <v>268</v>
      </c>
      <c r="H57" s="12" t="s">
        <v>267</v>
      </c>
      <c r="I57" s="61" t="s">
        <v>316</v>
      </c>
      <c r="J57" s="12" t="s">
        <v>149</v>
      </c>
    </row>
    <row r="58" spans="1:11">
      <c r="A58">
        <v>26</v>
      </c>
      <c r="B58">
        <v>48</v>
      </c>
      <c r="C58" s="12" t="s">
        <v>317</v>
      </c>
      <c r="D58">
        <v>13</v>
      </c>
      <c r="E58" s="12" t="s">
        <v>234</v>
      </c>
      <c r="F58">
        <v>2023</v>
      </c>
      <c r="G58" s="12" t="s">
        <v>318</v>
      </c>
      <c r="H58" s="12" t="s">
        <v>319</v>
      </c>
      <c r="I58" s="12" t="s">
        <v>320</v>
      </c>
      <c r="J58" s="12" t="s">
        <v>149</v>
      </c>
    </row>
    <row r="59" spans="1:11">
      <c r="A59">
        <v>27</v>
      </c>
      <c r="B59">
        <v>49</v>
      </c>
      <c r="C59" s="12" t="s">
        <v>321</v>
      </c>
      <c r="D59">
        <v>13</v>
      </c>
      <c r="E59" s="12" t="s">
        <v>234</v>
      </c>
      <c r="F59">
        <v>2023</v>
      </c>
      <c r="H59" s="12" t="s">
        <v>322</v>
      </c>
      <c r="I59" s="12" t="s">
        <v>323</v>
      </c>
      <c r="J59" s="12" t="s">
        <v>149</v>
      </c>
    </row>
    <row r="60" spans="1:11">
      <c r="A60">
        <v>28</v>
      </c>
      <c r="B60">
        <v>50</v>
      </c>
      <c r="C60" s="12" t="s">
        <v>324</v>
      </c>
      <c r="D60">
        <v>13</v>
      </c>
      <c r="E60" s="12" t="s">
        <v>234</v>
      </c>
      <c r="F60">
        <v>2023</v>
      </c>
      <c r="G60" s="12" t="s">
        <v>325</v>
      </c>
      <c r="H60" s="12" t="s">
        <v>326</v>
      </c>
      <c r="I60" s="12" t="s">
        <v>327</v>
      </c>
      <c r="J60" s="12" t="s">
        <v>149</v>
      </c>
    </row>
    <row r="61" spans="1:11">
      <c r="A61">
        <v>29</v>
      </c>
      <c r="B61">
        <v>51</v>
      </c>
      <c r="C61" s="12" t="s">
        <v>331</v>
      </c>
      <c r="D61">
        <v>13</v>
      </c>
      <c r="E61" s="12" t="s">
        <v>17</v>
      </c>
      <c r="F61">
        <v>2023</v>
      </c>
      <c r="G61" s="12" t="s">
        <v>332</v>
      </c>
      <c r="H61" s="12" t="s">
        <v>471</v>
      </c>
      <c r="I61" s="12" t="s">
        <v>472</v>
      </c>
      <c r="J61" s="12" t="s">
        <v>149</v>
      </c>
    </row>
    <row r="62" spans="1:11">
      <c r="E62" s="12"/>
      <c r="J62" s="12"/>
    </row>
    <row r="63" spans="1:11" ht="18">
      <c r="C63" s="77" t="s">
        <v>1249</v>
      </c>
      <c r="E63" s="12"/>
      <c r="J63" s="12" t="s">
        <v>149</v>
      </c>
    </row>
    <row r="64" spans="1:11">
      <c r="C64" s="10" t="s">
        <v>25</v>
      </c>
      <c r="D64" s="62" t="s">
        <v>10</v>
      </c>
      <c r="E64" s="62" t="s">
        <v>11</v>
      </c>
      <c r="F64" s="62" t="s">
        <v>12</v>
      </c>
      <c r="G64" s="2" t="s">
        <v>27</v>
      </c>
      <c r="H64" s="2" t="s">
        <v>26</v>
      </c>
      <c r="I64" s="2" t="s">
        <v>28</v>
      </c>
      <c r="J64" s="2" t="s">
        <v>9</v>
      </c>
      <c r="K64" s="64"/>
    </row>
    <row r="65" spans="1:10">
      <c r="A65">
        <v>1</v>
      </c>
      <c r="B65">
        <v>52</v>
      </c>
      <c r="C65" s="12" t="s">
        <v>336</v>
      </c>
      <c r="D65">
        <v>3</v>
      </c>
      <c r="E65" s="12" t="s">
        <v>18</v>
      </c>
      <c r="F65">
        <v>2023</v>
      </c>
      <c r="G65" s="12" t="s">
        <v>337</v>
      </c>
      <c r="H65" s="12" t="s">
        <v>338</v>
      </c>
      <c r="I65" s="12" t="s">
        <v>429</v>
      </c>
      <c r="J65" s="12" t="s">
        <v>149</v>
      </c>
    </row>
    <row r="66" spans="1:10">
      <c r="A66">
        <v>2</v>
      </c>
      <c r="B66">
        <v>53</v>
      </c>
      <c r="C66" s="12" t="s">
        <v>339</v>
      </c>
      <c r="D66">
        <v>3</v>
      </c>
      <c r="E66" s="12" t="s">
        <v>18</v>
      </c>
      <c r="F66">
        <v>2023</v>
      </c>
      <c r="G66" s="12" t="s">
        <v>340</v>
      </c>
      <c r="H66" s="12" t="s">
        <v>341</v>
      </c>
      <c r="I66" s="12" t="s">
        <v>342</v>
      </c>
      <c r="J66" s="12" t="s">
        <v>149</v>
      </c>
    </row>
    <row r="67" spans="1:10">
      <c r="A67">
        <v>3</v>
      </c>
      <c r="B67">
        <v>54</v>
      </c>
      <c r="C67" s="12" t="s">
        <v>343</v>
      </c>
      <c r="D67">
        <v>3</v>
      </c>
      <c r="E67" s="12" t="s">
        <v>18</v>
      </c>
      <c r="F67">
        <v>2023</v>
      </c>
      <c r="G67" s="12" t="s">
        <v>344</v>
      </c>
      <c r="H67" s="12" t="s">
        <v>345</v>
      </c>
      <c r="I67" s="12" t="s">
        <v>346</v>
      </c>
      <c r="J67" s="12" t="s">
        <v>149</v>
      </c>
    </row>
    <row r="68" spans="1:10">
      <c r="A68">
        <v>4</v>
      </c>
      <c r="B68">
        <v>55</v>
      </c>
      <c r="C68" s="12" t="s">
        <v>347</v>
      </c>
      <c r="D68">
        <v>3</v>
      </c>
      <c r="E68" s="12" t="s">
        <v>18</v>
      </c>
      <c r="F68">
        <v>2023</v>
      </c>
      <c r="G68" s="12" t="s">
        <v>348</v>
      </c>
      <c r="H68" s="12" t="s">
        <v>349</v>
      </c>
      <c r="I68" s="12" t="s">
        <v>350</v>
      </c>
      <c r="J68" s="12" t="s">
        <v>149</v>
      </c>
    </row>
    <row r="69" spans="1:10">
      <c r="A69">
        <v>5</v>
      </c>
      <c r="B69">
        <v>56</v>
      </c>
      <c r="C69" s="12" t="s">
        <v>351</v>
      </c>
      <c r="D69">
        <v>3</v>
      </c>
      <c r="E69" s="12" t="s">
        <v>18</v>
      </c>
      <c r="F69">
        <v>2023</v>
      </c>
      <c r="G69" s="12" t="s">
        <v>120</v>
      </c>
      <c r="H69" s="12" t="s">
        <v>121</v>
      </c>
      <c r="I69" s="61" t="s">
        <v>582</v>
      </c>
      <c r="J69" s="12" t="s">
        <v>149</v>
      </c>
    </row>
    <row r="70" spans="1:10">
      <c r="A70">
        <v>6</v>
      </c>
      <c r="B70">
        <v>57</v>
      </c>
      <c r="C70" s="12" t="s">
        <v>352</v>
      </c>
      <c r="D70">
        <v>3</v>
      </c>
      <c r="E70" s="12" t="s">
        <v>18</v>
      </c>
      <c r="F70">
        <v>2023</v>
      </c>
      <c r="G70" s="12" t="s">
        <v>353</v>
      </c>
      <c r="H70" s="12" t="s">
        <v>354</v>
      </c>
      <c r="I70" s="12" t="s">
        <v>355</v>
      </c>
      <c r="J70" s="12" t="s">
        <v>149</v>
      </c>
    </row>
    <row r="71" spans="1:10">
      <c r="A71">
        <v>7</v>
      </c>
      <c r="B71">
        <v>58</v>
      </c>
      <c r="C71" s="12" t="s">
        <v>356</v>
      </c>
      <c r="D71">
        <v>3</v>
      </c>
      <c r="E71" s="12" t="s">
        <v>18</v>
      </c>
      <c r="F71">
        <v>2023</v>
      </c>
      <c r="G71" s="12" t="s">
        <v>357</v>
      </c>
      <c r="H71" s="12" t="s">
        <v>358</v>
      </c>
      <c r="I71" s="12" t="s">
        <v>359</v>
      </c>
      <c r="J71" s="12" t="s">
        <v>149</v>
      </c>
    </row>
    <row r="72" spans="1:10">
      <c r="A72">
        <v>8</v>
      </c>
      <c r="B72">
        <v>59</v>
      </c>
      <c r="C72" s="12" t="s">
        <v>360</v>
      </c>
      <c r="D72">
        <v>3</v>
      </c>
      <c r="E72" s="12" t="s">
        <v>18</v>
      </c>
      <c r="F72">
        <v>2023</v>
      </c>
      <c r="G72" s="12" t="s">
        <v>362</v>
      </c>
      <c r="H72" s="12" t="s">
        <v>361</v>
      </c>
      <c r="I72" s="12" t="s">
        <v>363</v>
      </c>
      <c r="J72" s="12" t="s">
        <v>149</v>
      </c>
    </row>
    <row r="73" spans="1:10">
      <c r="A73">
        <v>9</v>
      </c>
      <c r="B73">
        <v>60</v>
      </c>
      <c r="C73" s="12" t="s">
        <v>364</v>
      </c>
      <c r="D73">
        <v>3</v>
      </c>
      <c r="E73" s="12" t="s">
        <v>18</v>
      </c>
      <c r="F73">
        <v>2023</v>
      </c>
      <c r="G73" s="12" t="s">
        <v>430</v>
      </c>
      <c r="H73" s="12" t="s">
        <v>365</v>
      </c>
      <c r="I73" s="12" t="s">
        <v>971</v>
      </c>
      <c r="J73" s="12" t="s">
        <v>149</v>
      </c>
    </row>
    <row r="74" spans="1:10">
      <c r="A74">
        <v>10</v>
      </c>
      <c r="B74">
        <v>61</v>
      </c>
      <c r="C74" s="12" t="s">
        <v>366</v>
      </c>
      <c r="D74">
        <v>3</v>
      </c>
      <c r="E74" s="12" t="s">
        <v>18</v>
      </c>
      <c r="F74">
        <v>2023</v>
      </c>
      <c r="G74" s="12" t="s">
        <v>367</v>
      </c>
      <c r="H74" s="12" t="s">
        <v>368</v>
      </c>
      <c r="I74" s="12" t="s">
        <v>369</v>
      </c>
      <c r="J74" s="12" t="s">
        <v>149</v>
      </c>
    </row>
    <row r="75" spans="1:10">
      <c r="A75">
        <v>11</v>
      </c>
      <c r="B75">
        <v>62</v>
      </c>
      <c r="C75" s="12" t="s">
        <v>854</v>
      </c>
      <c r="D75">
        <v>3</v>
      </c>
      <c r="E75" s="12" t="s">
        <v>18</v>
      </c>
      <c r="F75">
        <v>2023</v>
      </c>
      <c r="G75" s="12" t="s">
        <v>370</v>
      </c>
      <c r="H75" s="12" t="s">
        <v>371</v>
      </c>
      <c r="I75" s="12" t="s">
        <v>372</v>
      </c>
      <c r="J75" s="12" t="s">
        <v>149</v>
      </c>
    </row>
    <row r="76" spans="1:10">
      <c r="A76">
        <v>12</v>
      </c>
      <c r="B76">
        <v>63</v>
      </c>
      <c r="C76" s="12" t="s">
        <v>373</v>
      </c>
      <c r="D76">
        <v>3</v>
      </c>
      <c r="E76" s="12" t="s">
        <v>18</v>
      </c>
      <c r="F76">
        <v>2023</v>
      </c>
      <c r="G76" s="12" t="s">
        <v>375</v>
      </c>
      <c r="H76" s="12" t="s">
        <v>374</v>
      </c>
      <c r="I76" s="12" t="s">
        <v>375</v>
      </c>
      <c r="J76" s="12" t="s">
        <v>149</v>
      </c>
    </row>
    <row r="77" spans="1:10">
      <c r="A77">
        <v>13</v>
      </c>
      <c r="B77">
        <v>64</v>
      </c>
      <c r="C77" s="12" t="s">
        <v>376</v>
      </c>
      <c r="D77">
        <v>3</v>
      </c>
      <c r="E77" s="12" t="s">
        <v>18</v>
      </c>
      <c r="F77">
        <v>2023</v>
      </c>
      <c r="G77" s="12" t="s">
        <v>377</v>
      </c>
      <c r="H77" s="12" t="s">
        <v>378</v>
      </c>
      <c r="I77" s="12" t="s">
        <v>1056</v>
      </c>
      <c r="J77" s="12" t="s">
        <v>149</v>
      </c>
    </row>
    <row r="78" spans="1:10">
      <c r="A78">
        <v>14</v>
      </c>
      <c r="B78">
        <v>65</v>
      </c>
      <c r="C78" s="12" t="s">
        <v>379</v>
      </c>
      <c r="D78">
        <v>3</v>
      </c>
      <c r="E78" s="12" t="s">
        <v>18</v>
      </c>
      <c r="F78">
        <v>2023</v>
      </c>
      <c r="G78" s="12" t="s">
        <v>380</v>
      </c>
      <c r="H78" s="12" t="s">
        <v>381</v>
      </c>
      <c r="I78" s="12" t="s">
        <v>382</v>
      </c>
      <c r="J78" s="12" t="s">
        <v>149</v>
      </c>
    </row>
    <row r="79" spans="1:10">
      <c r="A79">
        <v>15</v>
      </c>
      <c r="B79">
        <v>66</v>
      </c>
      <c r="C79" s="12" t="s">
        <v>383</v>
      </c>
      <c r="D79">
        <v>3</v>
      </c>
      <c r="E79" s="12" t="s">
        <v>18</v>
      </c>
      <c r="F79">
        <v>2023</v>
      </c>
      <c r="G79" s="12" t="s">
        <v>384</v>
      </c>
      <c r="H79" s="12" t="s">
        <v>385</v>
      </c>
      <c r="I79" s="12" t="s">
        <v>386</v>
      </c>
      <c r="J79" s="12" t="s">
        <v>149</v>
      </c>
    </row>
    <row r="80" spans="1:10">
      <c r="A80">
        <v>16</v>
      </c>
      <c r="B80">
        <v>67</v>
      </c>
      <c r="C80" s="12" t="s">
        <v>387</v>
      </c>
      <c r="D80">
        <v>3</v>
      </c>
      <c r="E80" s="12" t="s">
        <v>18</v>
      </c>
      <c r="F80">
        <v>2023</v>
      </c>
      <c r="G80" s="12" t="s">
        <v>388</v>
      </c>
      <c r="H80" s="12" t="s">
        <v>389</v>
      </c>
      <c r="I80" s="12" t="s">
        <v>431</v>
      </c>
      <c r="J80" s="12" t="s">
        <v>149</v>
      </c>
    </row>
    <row r="81" spans="1:11">
      <c r="A81">
        <v>17</v>
      </c>
      <c r="B81">
        <v>68</v>
      </c>
      <c r="C81" s="12" t="s">
        <v>390</v>
      </c>
      <c r="D81">
        <v>3</v>
      </c>
      <c r="E81" s="12" t="s">
        <v>18</v>
      </c>
      <c r="F81">
        <v>2023</v>
      </c>
      <c r="G81" s="12" t="s">
        <v>391</v>
      </c>
      <c r="H81" s="12" t="s">
        <v>432</v>
      </c>
      <c r="I81" s="12" t="s">
        <v>392</v>
      </c>
      <c r="J81" s="12" t="s">
        <v>149</v>
      </c>
    </row>
    <row r="82" spans="1:11">
      <c r="A82">
        <v>18</v>
      </c>
      <c r="B82">
        <v>69</v>
      </c>
      <c r="C82" s="12" t="s">
        <v>393</v>
      </c>
      <c r="D82">
        <v>3</v>
      </c>
      <c r="E82" s="12" t="s">
        <v>18</v>
      </c>
      <c r="F82">
        <v>2023</v>
      </c>
      <c r="G82" s="12" t="s">
        <v>394</v>
      </c>
      <c r="H82" s="12" t="s">
        <v>395</v>
      </c>
      <c r="I82" s="12" t="s">
        <v>396</v>
      </c>
      <c r="J82" s="12" t="s">
        <v>149</v>
      </c>
    </row>
    <row r="83" spans="1:11">
      <c r="A83">
        <v>19</v>
      </c>
      <c r="B83">
        <v>70</v>
      </c>
      <c r="C83" s="12" t="s">
        <v>397</v>
      </c>
      <c r="D83">
        <v>3</v>
      </c>
      <c r="E83" s="12" t="s">
        <v>18</v>
      </c>
      <c r="F83">
        <v>2023</v>
      </c>
      <c r="G83" s="12" t="s">
        <v>1096</v>
      </c>
      <c r="H83" s="12" t="s">
        <v>398</v>
      </c>
      <c r="I83" s="12" t="s">
        <v>399</v>
      </c>
      <c r="J83" s="12" t="s">
        <v>149</v>
      </c>
    </row>
    <row r="84" spans="1:11">
      <c r="A84">
        <v>20</v>
      </c>
      <c r="B84">
        <v>71</v>
      </c>
      <c r="C84" s="12" t="s">
        <v>400</v>
      </c>
      <c r="D84">
        <v>3</v>
      </c>
      <c r="E84" s="12" t="s">
        <v>18</v>
      </c>
      <c r="F84">
        <v>2023</v>
      </c>
      <c r="G84" s="12" t="s">
        <v>388</v>
      </c>
      <c r="H84" s="12" t="s">
        <v>389</v>
      </c>
      <c r="I84" s="12" t="s">
        <v>401</v>
      </c>
      <c r="J84" s="12" t="s">
        <v>149</v>
      </c>
    </row>
    <row r="85" spans="1:11">
      <c r="A85">
        <v>21</v>
      </c>
      <c r="B85">
        <v>72</v>
      </c>
      <c r="C85" s="12" t="s">
        <v>402</v>
      </c>
      <c r="D85">
        <v>3</v>
      </c>
      <c r="E85" s="12" t="s">
        <v>18</v>
      </c>
      <c r="F85">
        <v>2023</v>
      </c>
      <c r="G85" s="12" t="s">
        <v>403</v>
      </c>
      <c r="H85" s="12" t="s">
        <v>404</v>
      </c>
      <c r="I85" s="12" t="s">
        <v>405</v>
      </c>
      <c r="J85" s="12" t="s">
        <v>149</v>
      </c>
    </row>
    <row r="86" spans="1:11">
      <c r="A86">
        <v>22</v>
      </c>
      <c r="B86">
        <v>73</v>
      </c>
      <c r="C86" s="12" t="s">
        <v>406</v>
      </c>
      <c r="D86">
        <v>3</v>
      </c>
      <c r="E86" s="12" t="s">
        <v>18</v>
      </c>
      <c r="F86">
        <v>2023</v>
      </c>
      <c r="G86" s="12" t="s">
        <v>407</v>
      </c>
      <c r="H86" s="12" t="s">
        <v>408</v>
      </c>
      <c r="I86" s="12" t="s">
        <v>409</v>
      </c>
      <c r="J86" s="12" t="s">
        <v>149</v>
      </c>
    </row>
    <row r="87" spans="1:11">
      <c r="A87">
        <v>23</v>
      </c>
      <c r="B87">
        <v>74</v>
      </c>
      <c r="C87" s="12" t="s">
        <v>410</v>
      </c>
      <c r="D87">
        <v>3</v>
      </c>
      <c r="E87" s="12" t="s">
        <v>18</v>
      </c>
      <c r="F87">
        <v>2023</v>
      </c>
      <c r="G87" s="12" t="s">
        <v>411</v>
      </c>
      <c r="H87" s="12" t="s">
        <v>359</v>
      </c>
      <c r="I87" s="12" t="s">
        <v>412</v>
      </c>
      <c r="J87" s="12" t="s">
        <v>149</v>
      </c>
    </row>
    <row r="88" spans="1:11">
      <c r="A88">
        <v>24</v>
      </c>
      <c r="B88">
        <v>75</v>
      </c>
      <c r="C88" s="12" t="s">
        <v>413</v>
      </c>
      <c r="D88">
        <v>3</v>
      </c>
      <c r="E88" s="12" t="s">
        <v>18</v>
      </c>
      <c r="F88">
        <v>2023</v>
      </c>
      <c r="G88" s="12" t="s">
        <v>414</v>
      </c>
      <c r="H88" s="12" t="s">
        <v>415</v>
      </c>
      <c r="I88" s="12" t="s">
        <v>416</v>
      </c>
      <c r="J88" s="12" t="s">
        <v>149</v>
      </c>
    </row>
    <row r="89" spans="1:11">
      <c r="A89">
        <v>25</v>
      </c>
      <c r="B89">
        <v>76</v>
      </c>
      <c r="C89" s="12" t="s">
        <v>417</v>
      </c>
      <c r="D89">
        <v>3</v>
      </c>
      <c r="E89" s="12" t="s">
        <v>18</v>
      </c>
      <c r="F89">
        <v>2023</v>
      </c>
      <c r="G89" s="12" t="s">
        <v>418</v>
      </c>
      <c r="H89" s="12" t="s">
        <v>419</v>
      </c>
      <c r="I89" s="12" t="s">
        <v>420</v>
      </c>
      <c r="J89" s="12" t="s">
        <v>149</v>
      </c>
    </row>
    <row r="90" spans="1:11">
      <c r="A90">
        <v>26</v>
      </c>
      <c r="B90">
        <v>77</v>
      </c>
      <c r="C90" s="12" t="s">
        <v>421</v>
      </c>
      <c r="D90">
        <v>3</v>
      </c>
      <c r="E90" s="12" t="s">
        <v>18</v>
      </c>
      <c r="F90">
        <v>2023</v>
      </c>
      <c r="G90" s="12" t="s">
        <v>422</v>
      </c>
      <c r="H90" s="12" t="s">
        <v>423</v>
      </c>
      <c r="I90" s="12" t="s">
        <v>424</v>
      </c>
      <c r="J90" s="12" t="s">
        <v>149</v>
      </c>
    </row>
    <row r="91" spans="1:11">
      <c r="A91">
        <v>27</v>
      </c>
      <c r="B91">
        <v>78</v>
      </c>
      <c r="C91" s="12" t="s">
        <v>425</v>
      </c>
      <c r="D91">
        <v>3</v>
      </c>
      <c r="E91" s="12" t="s">
        <v>18</v>
      </c>
      <c r="F91">
        <v>2023</v>
      </c>
      <c r="G91" s="12" t="s">
        <v>426</v>
      </c>
      <c r="H91" s="12" t="s">
        <v>427</v>
      </c>
      <c r="I91" s="12" t="s">
        <v>428</v>
      </c>
      <c r="J91" s="12" t="s">
        <v>149</v>
      </c>
    </row>
    <row r="92" spans="1:11">
      <c r="E92" s="12"/>
      <c r="J92" s="12" t="s">
        <v>149</v>
      </c>
    </row>
    <row r="93" spans="1:11" ht="18">
      <c r="C93" s="77" t="s">
        <v>1250</v>
      </c>
      <c r="E93" s="12"/>
      <c r="J93" s="12" t="s">
        <v>149</v>
      </c>
    </row>
    <row r="94" spans="1:11">
      <c r="C94" s="10" t="s">
        <v>25</v>
      </c>
      <c r="D94" s="62" t="s">
        <v>10</v>
      </c>
      <c r="E94" s="62" t="s">
        <v>11</v>
      </c>
      <c r="F94" s="62" t="s">
        <v>12</v>
      </c>
      <c r="G94" s="2" t="s">
        <v>27</v>
      </c>
      <c r="H94" s="2" t="s">
        <v>26</v>
      </c>
      <c r="I94" s="2" t="s">
        <v>28</v>
      </c>
      <c r="J94" s="2" t="s">
        <v>9</v>
      </c>
      <c r="K94" s="64"/>
    </row>
    <row r="95" spans="1:11">
      <c r="A95">
        <v>1</v>
      </c>
      <c r="B95">
        <v>79</v>
      </c>
      <c r="C95" s="12" t="s">
        <v>441</v>
      </c>
      <c r="D95">
        <v>2</v>
      </c>
      <c r="E95" s="12" t="s">
        <v>18</v>
      </c>
      <c r="F95">
        <v>2023</v>
      </c>
      <c r="G95" s="12" t="s">
        <v>463</v>
      </c>
      <c r="H95" s="12" t="s">
        <v>465</v>
      </c>
      <c r="I95" s="12" t="s">
        <v>850</v>
      </c>
      <c r="J95" s="12" t="s">
        <v>149</v>
      </c>
    </row>
    <row r="96" spans="1:11">
      <c r="A96">
        <v>2</v>
      </c>
      <c r="B96">
        <v>80</v>
      </c>
      <c r="C96" s="12" t="s">
        <v>438</v>
      </c>
      <c r="D96">
        <v>2</v>
      </c>
      <c r="E96" s="12" t="s">
        <v>18</v>
      </c>
      <c r="F96">
        <v>2023</v>
      </c>
      <c r="G96" s="12" t="s">
        <v>454</v>
      </c>
      <c r="H96" s="12" t="s">
        <v>455</v>
      </c>
      <c r="I96" s="12" t="s">
        <v>456</v>
      </c>
      <c r="J96" s="12" t="s">
        <v>149</v>
      </c>
    </row>
    <row r="97" spans="1:11">
      <c r="A97">
        <v>3</v>
      </c>
      <c r="B97">
        <v>81</v>
      </c>
      <c r="C97" s="12" t="s">
        <v>442</v>
      </c>
      <c r="D97">
        <v>2</v>
      </c>
      <c r="E97" s="12" t="s">
        <v>18</v>
      </c>
      <c r="F97">
        <v>2023</v>
      </c>
      <c r="G97" s="12" t="s">
        <v>466</v>
      </c>
      <c r="H97" s="12" t="s">
        <v>467</v>
      </c>
      <c r="I97" s="12" t="s">
        <v>470</v>
      </c>
      <c r="J97" s="12" t="s">
        <v>149</v>
      </c>
    </row>
    <row r="98" spans="1:11">
      <c r="A98">
        <v>4</v>
      </c>
      <c r="B98">
        <v>82</v>
      </c>
      <c r="C98" s="12" t="s">
        <v>437</v>
      </c>
      <c r="D98">
        <v>2</v>
      </c>
      <c r="E98" s="12" t="s">
        <v>18</v>
      </c>
      <c r="F98">
        <v>2023</v>
      </c>
      <c r="G98" s="12" t="s">
        <v>457</v>
      </c>
      <c r="H98" s="12" t="s">
        <v>458</v>
      </c>
      <c r="I98" s="12" t="s">
        <v>459</v>
      </c>
      <c r="J98" s="12" t="s">
        <v>149</v>
      </c>
    </row>
    <row r="99" spans="1:11">
      <c r="A99">
        <v>5</v>
      </c>
      <c r="B99">
        <v>83</v>
      </c>
      <c r="C99" s="12" t="s">
        <v>440</v>
      </c>
      <c r="D99">
        <v>2</v>
      </c>
      <c r="E99" s="12" t="s">
        <v>18</v>
      </c>
      <c r="F99">
        <v>2023</v>
      </c>
      <c r="G99" s="12" t="s">
        <v>461</v>
      </c>
      <c r="H99" s="12" t="s">
        <v>462</v>
      </c>
      <c r="I99" s="12" t="s">
        <v>464</v>
      </c>
      <c r="J99" s="12" t="s">
        <v>149</v>
      </c>
    </row>
    <row r="100" spans="1:11">
      <c r="A100">
        <v>6</v>
      </c>
      <c r="B100">
        <v>84</v>
      </c>
      <c r="C100" s="12" t="s">
        <v>433</v>
      </c>
      <c r="D100">
        <v>2</v>
      </c>
      <c r="E100" s="12" t="s">
        <v>18</v>
      </c>
      <c r="F100">
        <v>2023</v>
      </c>
      <c r="G100" s="12" t="s">
        <v>444</v>
      </c>
      <c r="H100" s="12" t="s">
        <v>445</v>
      </c>
      <c r="I100" s="12" t="s">
        <v>448</v>
      </c>
      <c r="J100" s="12" t="s">
        <v>149</v>
      </c>
    </row>
    <row r="101" spans="1:11">
      <c r="A101">
        <v>7</v>
      </c>
      <c r="B101">
        <v>85</v>
      </c>
      <c r="C101" s="12" t="s">
        <v>439</v>
      </c>
      <c r="D101">
        <v>2</v>
      </c>
      <c r="E101" s="12" t="s">
        <v>18</v>
      </c>
      <c r="F101">
        <v>2023</v>
      </c>
      <c r="G101" s="12" t="s">
        <v>116</v>
      </c>
      <c r="H101" s="12" t="s">
        <v>117</v>
      </c>
      <c r="I101" s="12" t="s">
        <v>460</v>
      </c>
      <c r="J101" s="12" t="s">
        <v>149</v>
      </c>
    </row>
    <row r="102" spans="1:11">
      <c r="A102">
        <v>8</v>
      </c>
      <c r="B102">
        <v>86</v>
      </c>
      <c r="C102" s="12" t="s">
        <v>434</v>
      </c>
      <c r="D102">
        <v>2</v>
      </c>
      <c r="E102" s="12" t="s">
        <v>18</v>
      </c>
      <c r="F102">
        <v>2023</v>
      </c>
      <c r="G102" s="12" t="s">
        <v>446</v>
      </c>
      <c r="H102" s="12" t="s">
        <v>447</v>
      </c>
      <c r="I102" s="12" t="s">
        <v>449</v>
      </c>
      <c r="J102" s="12" t="s">
        <v>149</v>
      </c>
    </row>
    <row r="103" spans="1:11">
      <c r="A103">
        <v>9</v>
      </c>
      <c r="B103">
        <v>87</v>
      </c>
      <c r="C103" s="12" t="s">
        <v>443</v>
      </c>
      <c r="D103">
        <v>2</v>
      </c>
      <c r="E103" s="12" t="s">
        <v>18</v>
      </c>
      <c r="F103">
        <v>2023</v>
      </c>
      <c r="G103" s="12" t="s">
        <v>469</v>
      </c>
      <c r="H103" s="12" t="s">
        <v>468</v>
      </c>
      <c r="I103" s="12" t="s">
        <v>849</v>
      </c>
      <c r="J103" s="12" t="s">
        <v>149</v>
      </c>
    </row>
    <row r="104" spans="1:11">
      <c r="A104">
        <v>10</v>
      </c>
      <c r="B104">
        <v>88</v>
      </c>
      <c r="C104" s="12" t="s">
        <v>436</v>
      </c>
      <c r="D104">
        <v>2</v>
      </c>
      <c r="E104" s="12" t="s">
        <v>18</v>
      </c>
      <c r="F104">
        <v>2023</v>
      </c>
      <c r="G104" s="12" t="s">
        <v>451</v>
      </c>
      <c r="H104" s="12" t="s">
        <v>452</v>
      </c>
      <c r="I104" s="12" t="s">
        <v>453</v>
      </c>
      <c r="J104" s="12" t="s">
        <v>149</v>
      </c>
    </row>
    <row r="105" spans="1:11">
      <c r="A105">
        <v>11</v>
      </c>
      <c r="B105">
        <v>89</v>
      </c>
      <c r="C105" s="12" t="s">
        <v>435</v>
      </c>
      <c r="D105">
        <v>2</v>
      </c>
      <c r="E105" s="12" t="s">
        <v>18</v>
      </c>
      <c r="F105">
        <v>2023</v>
      </c>
      <c r="G105" s="12" t="s">
        <v>446</v>
      </c>
      <c r="H105" s="12" t="s">
        <v>447</v>
      </c>
      <c r="I105" s="12" t="s">
        <v>450</v>
      </c>
      <c r="J105" s="12" t="s">
        <v>149</v>
      </c>
    </row>
    <row r="106" spans="1:11">
      <c r="E106" s="12"/>
      <c r="J106" s="12" t="s">
        <v>149</v>
      </c>
    </row>
    <row r="107" spans="1:11" ht="18">
      <c r="C107" s="77" t="s">
        <v>1251</v>
      </c>
      <c r="E107" s="12"/>
      <c r="J107" s="12" t="s">
        <v>149</v>
      </c>
    </row>
    <row r="108" spans="1:11">
      <c r="C108" s="10" t="s">
        <v>25</v>
      </c>
      <c r="D108" s="62" t="s">
        <v>10</v>
      </c>
      <c r="E108" s="62" t="s">
        <v>11</v>
      </c>
      <c r="F108" s="62" t="s">
        <v>12</v>
      </c>
      <c r="G108" s="2" t="s">
        <v>27</v>
      </c>
      <c r="H108" s="2" t="s">
        <v>26</v>
      </c>
      <c r="I108" s="2" t="s">
        <v>28</v>
      </c>
      <c r="J108" s="2" t="s">
        <v>9</v>
      </c>
      <c r="K108" s="64"/>
    </row>
    <row r="109" spans="1:11">
      <c r="A109">
        <v>1</v>
      </c>
      <c r="B109">
        <v>90</v>
      </c>
      <c r="C109" s="12" t="s">
        <v>473</v>
      </c>
      <c r="D109">
        <v>10</v>
      </c>
      <c r="E109" s="12" t="s">
        <v>18</v>
      </c>
      <c r="F109">
        <v>2023</v>
      </c>
      <c r="G109" s="12" t="s">
        <v>474</v>
      </c>
      <c r="H109" s="12" t="s">
        <v>475</v>
      </c>
      <c r="I109" s="12" t="s">
        <v>476</v>
      </c>
      <c r="J109" s="12" t="s">
        <v>149</v>
      </c>
    </row>
    <row r="110" spans="1:11">
      <c r="A110">
        <v>2</v>
      </c>
      <c r="B110">
        <v>91</v>
      </c>
      <c r="C110" s="12" t="s">
        <v>480</v>
      </c>
      <c r="D110">
        <v>10</v>
      </c>
      <c r="E110" s="12" t="s">
        <v>18</v>
      </c>
      <c r="F110">
        <v>2023</v>
      </c>
      <c r="G110" s="12" t="s">
        <v>477</v>
      </c>
      <c r="H110" s="12" t="s">
        <v>478</v>
      </c>
      <c r="I110" s="12" t="s">
        <v>479</v>
      </c>
      <c r="J110" s="12" t="s">
        <v>149</v>
      </c>
    </row>
    <row r="111" spans="1:11">
      <c r="A111">
        <v>3</v>
      </c>
      <c r="B111">
        <v>92</v>
      </c>
      <c r="C111" s="12" t="s">
        <v>481</v>
      </c>
      <c r="D111">
        <v>10</v>
      </c>
      <c r="E111" s="12" t="s">
        <v>18</v>
      </c>
      <c r="F111">
        <v>2023</v>
      </c>
      <c r="G111" s="12" t="s">
        <v>482</v>
      </c>
      <c r="H111" s="12" t="s">
        <v>483</v>
      </c>
      <c r="I111" s="12" t="s">
        <v>484</v>
      </c>
      <c r="J111" s="12" t="s">
        <v>149</v>
      </c>
    </row>
    <row r="112" spans="1:11">
      <c r="A112">
        <v>4</v>
      </c>
      <c r="B112">
        <v>93</v>
      </c>
      <c r="C112" s="12" t="s">
        <v>485</v>
      </c>
      <c r="D112">
        <v>10</v>
      </c>
      <c r="E112" s="12" t="s">
        <v>18</v>
      </c>
      <c r="F112">
        <v>2023</v>
      </c>
      <c r="G112" s="12" t="s">
        <v>487</v>
      </c>
      <c r="H112" s="12" t="s">
        <v>486</v>
      </c>
      <c r="I112" s="12" t="s">
        <v>488</v>
      </c>
      <c r="J112" s="12" t="s">
        <v>149</v>
      </c>
    </row>
    <row r="113" spans="1:10">
      <c r="A113">
        <v>5</v>
      </c>
      <c r="B113">
        <v>94</v>
      </c>
      <c r="C113" s="12" t="s">
        <v>489</v>
      </c>
      <c r="D113">
        <v>10</v>
      </c>
      <c r="E113" s="12" t="s">
        <v>18</v>
      </c>
      <c r="F113">
        <v>2023</v>
      </c>
      <c r="G113" s="12" t="s">
        <v>490</v>
      </c>
      <c r="H113" s="12" t="s">
        <v>491</v>
      </c>
      <c r="I113" s="12" t="s">
        <v>492</v>
      </c>
      <c r="J113" s="12" t="s">
        <v>149</v>
      </c>
    </row>
    <row r="114" spans="1:10">
      <c r="A114">
        <v>6</v>
      </c>
      <c r="B114">
        <v>95</v>
      </c>
      <c r="C114" s="12" t="s">
        <v>493</v>
      </c>
      <c r="D114">
        <v>10</v>
      </c>
      <c r="E114" s="12" t="s">
        <v>18</v>
      </c>
      <c r="F114">
        <v>2023</v>
      </c>
      <c r="G114" s="12" t="s">
        <v>482</v>
      </c>
      <c r="H114" s="12" t="s">
        <v>483</v>
      </c>
      <c r="I114" s="12" t="s">
        <v>494</v>
      </c>
      <c r="J114" s="12" t="s">
        <v>149</v>
      </c>
    </row>
    <row r="115" spans="1:10">
      <c r="A115">
        <v>7</v>
      </c>
      <c r="B115">
        <v>96</v>
      </c>
      <c r="C115" s="12" t="s">
        <v>495</v>
      </c>
      <c r="D115">
        <v>10</v>
      </c>
      <c r="E115" s="12" t="s">
        <v>18</v>
      </c>
      <c r="F115">
        <v>2023</v>
      </c>
      <c r="G115" s="12" t="s">
        <v>496</v>
      </c>
      <c r="H115" s="12" t="s">
        <v>497</v>
      </c>
      <c r="I115" s="12" t="s">
        <v>498</v>
      </c>
      <c r="J115" s="12" t="s">
        <v>149</v>
      </c>
    </row>
    <row r="116" spans="1:10">
      <c r="A116">
        <v>8</v>
      </c>
      <c r="B116">
        <v>97</v>
      </c>
      <c r="C116" s="12" t="s">
        <v>499</v>
      </c>
      <c r="D116">
        <v>10</v>
      </c>
      <c r="E116" s="12" t="s">
        <v>18</v>
      </c>
      <c r="F116">
        <v>2023</v>
      </c>
      <c r="G116" s="12" t="s">
        <v>572</v>
      </c>
      <c r="H116" s="12" t="s">
        <v>500</v>
      </c>
      <c r="I116" s="12" t="s">
        <v>501</v>
      </c>
      <c r="J116" s="12" t="s">
        <v>149</v>
      </c>
    </row>
    <row r="117" spans="1:10">
      <c r="A117">
        <v>9</v>
      </c>
      <c r="B117">
        <v>98</v>
      </c>
      <c r="C117" s="12" t="s">
        <v>502</v>
      </c>
      <c r="D117">
        <v>10</v>
      </c>
      <c r="E117" s="12" t="s">
        <v>18</v>
      </c>
      <c r="F117">
        <v>2023</v>
      </c>
      <c r="G117" s="12" t="s">
        <v>503</v>
      </c>
      <c r="H117" s="12" t="s">
        <v>504</v>
      </c>
      <c r="I117" s="12" t="s">
        <v>381</v>
      </c>
      <c r="J117" s="12" t="s">
        <v>149</v>
      </c>
    </row>
    <row r="118" spans="1:10">
      <c r="A118">
        <v>10</v>
      </c>
      <c r="B118">
        <v>99</v>
      </c>
      <c r="C118" s="12" t="s">
        <v>505</v>
      </c>
      <c r="D118">
        <v>10</v>
      </c>
      <c r="E118" s="12" t="s">
        <v>18</v>
      </c>
      <c r="F118">
        <v>2023</v>
      </c>
      <c r="G118" s="12" t="s">
        <v>572</v>
      </c>
      <c r="H118" s="12" t="s">
        <v>500</v>
      </c>
      <c r="I118" s="12" t="s">
        <v>506</v>
      </c>
      <c r="J118" s="12" t="s">
        <v>149</v>
      </c>
    </row>
    <row r="119" spans="1:10">
      <c r="A119">
        <v>11</v>
      </c>
      <c r="B119">
        <v>100</v>
      </c>
      <c r="C119" s="12" t="s">
        <v>507</v>
      </c>
      <c r="D119">
        <v>10</v>
      </c>
      <c r="E119" s="12" t="s">
        <v>18</v>
      </c>
      <c r="F119">
        <v>2023</v>
      </c>
      <c r="G119" s="12" t="s">
        <v>573</v>
      </c>
      <c r="H119" s="12" t="s">
        <v>544</v>
      </c>
      <c r="I119" s="12" t="s">
        <v>508</v>
      </c>
      <c r="J119" s="12" t="s">
        <v>149</v>
      </c>
    </row>
    <row r="120" spans="1:10">
      <c r="A120">
        <v>12</v>
      </c>
      <c r="B120">
        <v>101</v>
      </c>
      <c r="C120" s="12" t="s">
        <v>509</v>
      </c>
      <c r="D120">
        <v>10</v>
      </c>
      <c r="E120" s="12" t="s">
        <v>18</v>
      </c>
      <c r="F120">
        <v>2023</v>
      </c>
      <c r="G120" s="12" t="s">
        <v>573</v>
      </c>
      <c r="H120" s="12" t="s">
        <v>544</v>
      </c>
      <c r="I120" s="12" t="s">
        <v>510</v>
      </c>
      <c r="J120" s="12" t="s">
        <v>149</v>
      </c>
    </row>
    <row r="121" spans="1:10">
      <c r="A121">
        <v>13</v>
      </c>
      <c r="B121">
        <v>102</v>
      </c>
      <c r="C121" s="12" t="s">
        <v>511</v>
      </c>
      <c r="D121">
        <v>10</v>
      </c>
      <c r="E121" s="12" t="s">
        <v>18</v>
      </c>
      <c r="F121">
        <v>2023</v>
      </c>
      <c r="G121" s="12" t="s">
        <v>512</v>
      </c>
      <c r="H121" s="12" t="s">
        <v>513</v>
      </c>
      <c r="I121" s="12" t="s">
        <v>514</v>
      </c>
      <c r="J121" s="12" t="s">
        <v>149</v>
      </c>
    </row>
    <row r="122" spans="1:10">
      <c r="A122">
        <v>14</v>
      </c>
      <c r="B122">
        <v>103</v>
      </c>
      <c r="C122" s="12" t="s">
        <v>515</v>
      </c>
      <c r="D122">
        <v>10</v>
      </c>
      <c r="E122" s="12" t="s">
        <v>18</v>
      </c>
      <c r="F122">
        <v>2023</v>
      </c>
      <c r="G122" s="12" t="s">
        <v>516</v>
      </c>
      <c r="H122" s="12" t="s">
        <v>517</v>
      </c>
      <c r="I122" s="12" t="s">
        <v>518</v>
      </c>
      <c r="J122" s="12" t="s">
        <v>149</v>
      </c>
    </row>
    <row r="123" spans="1:10">
      <c r="A123">
        <v>15</v>
      </c>
      <c r="B123">
        <v>104</v>
      </c>
      <c r="C123" s="12" t="s">
        <v>519</v>
      </c>
      <c r="D123">
        <v>10</v>
      </c>
      <c r="E123" s="12" t="s">
        <v>18</v>
      </c>
      <c r="F123">
        <v>2023</v>
      </c>
      <c r="G123" s="12" t="s">
        <v>520</v>
      </c>
      <c r="H123" s="12" t="s">
        <v>521</v>
      </c>
      <c r="I123" s="12" t="s">
        <v>522</v>
      </c>
      <c r="J123" s="12" t="s">
        <v>149</v>
      </c>
    </row>
    <row r="124" spans="1:10">
      <c r="A124">
        <v>16</v>
      </c>
      <c r="B124">
        <v>105</v>
      </c>
      <c r="C124" s="12" t="s">
        <v>523</v>
      </c>
      <c r="D124">
        <v>10</v>
      </c>
      <c r="E124" s="12" t="s">
        <v>18</v>
      </c>
      <c r="F124">
        <v>2023</v>
      </c>
      <c r="G124" s="12" t="s">
        <v>524</v>
      </c>
      <c r="H124" s="12" t="s">
        <v>525</v>
      </c>
      <c r="I124" s="12" t="s">
        <v>526</v>
      </c>
      <c r="J124" s="12" t="s">
        <v>149</v>
      </c>
    </row>
    <row r="125" spans="1:10">
      <c r="A125">
        <v>17</v>
      </c>
      <c r="B125">
        <v>106</v>
      </c>
      <c r="C125" s="12" t="s">
        <v>527</v>
      </c>
      <c r="D125">
        <v>10</v>
      </c>
      <c r="E125" s="12" t="s">
        <v>18</v>
      </c>
      <c r="F125">
        <v>2023</v>
      </c>
      <c r="G125" s="12" t="s">
        <v>528</v>
      </c>
      <c r="H125" s="12" t="s">
        <v>574</v>
      </c>
      <c r="I125" s="12" t="s">
        <v>529</v>
      </c>
      <c r="J125" s="12" t="s">
        <v>149</v>
      </c>
    </row>
    <row r="126" spans="1:10">
      <c r="A126">
        <v>18</v>
      </c>
      <c r="B126">
        <v>107</v>
      </c>
      <c r="C126" s="12" t="s">
        <v>530</v>
      </c>
      <c r="D126">
        <v>10</v>
      </c>
      <c r="E126" s="12" t="s">
        <v>18</v>
      </c>
      <c r="F126">
        <v>2023</v>
      </c>
      <c r="H126" s="12" t="s">
        <v>531</v>
      </c>
      <c r="I126" s="12" t="s">
        <v>532</v>
      </c>
      <c r="J126" s="12" t="s">
        <v>149</v>
      </c>
    </row>
    <row r="127" spans="1:10">
      <c r="A127">
        <v>19</v>
      </c>
      <c r="B127">
        <v>108</v>
      </c>
      <c r="C127" s="12" t="s">
        <v>533</v>
      </c>
      <c r="D127">
        <v>10</v>
      </c>
      <c r="E127" s="12" t="s">
        <v>18</v>
      </c>
      <c r="F127">
        <v>2023</v>
      </c>
      <c r="G127" t="s">
        <v>534</v>
      </c>
      <c r="H127" s="12" t="s">
        <v>535</v>
      </c>
      <c r="I127" s="12" t="s">
        <v>575</v>
      </c>
      <c r="J127" s="12" t="s">
        <v>149</v>
      </c>
    </row>
    <row r="128" spans="1:10">
      <c r="A128">
        <v>20</v>
      </c>
      <c r="B128">
        <v>109</v>
      </c>
      <c r="C128" s="12" t="s">
        <v>536</v>
      </c>
      <c r="D128">
        <v>10</v>
      </c>
      <c r="E128" s="12" t="s">
        <v>18</v>
      </c>
      <c r="F128">
        <v>2023</v>
      </c>
      <c r="G128" t="s">
        <v>516</v>
      </c>
      <c r="H128" s="12" t="s">
        <v>517</v>
      </c>
      <c r="I128" s="12" t="s">
        <v>537</v>
      </c>
      <c r="J128" s="12" t="s">
        <v>149</v>
      </c>
    </row>
    <row r="129" spans="1:11">
      <c r="A129">
        <v>21</v>
      </c>
      <c r="B129">
        <v>110</v>
      </c>
      <c r="C129" s="12" t="s">
        <v>538</v>
      </c>
      <c r="D129">
        <v>10</v>
      </c>
      <c r="E129" s="12" t="s">
        <v>18</v>
      </c>
      <c r="F129">
        <v>2023</v>
      </c>
      <c r="G129" t="s">
        <v>539</v>
      </c>
      <c r="H129" s="12" t="s">
        <v>540</v>
      </c>
      <c r="I129" s="12" t="s">
        <v>541</v>
      </c>
      <c r="J129" s="12" t="s">
        <v>149</v>
      </c>
    </row>
    <row r="130" spans="1:11">
      <c r="A130">
        <v>22</v>
      </c>
      <c r="B130">
        <v>111</v>
      </c>
      <c r="C130" s="12" t="s">
        <v>542</v>
      </c>
      <c r="D130">
        <v>10</v>
      </c>
      <c r="E130" s="12" t="s">
        <v>18</v>
      </c>
      <c r="F130">
        <v>2023</v>
      </c>
      <c r="G130" t="s">
        <v>543</v>
      </c>
      <c r="H130" s="12" t="s">
        <v>510</v>
      </c>
      <c r="I130" s="12" t="s">
        <v>544</v>
      </c>
      <c r="J130" s="12" t="s">
        <v>149</v>
      </c>
    </row>
    <row r="131" spans="1:11">
      <c r="A131">
        <v>23</v>
      </c>
      <c r="B131">
        <v>112</v>
      </c>
      <c r="C131" s="12" t="s">
        <v>545</v>
      </c>
      <c r="D131">
        <v>10</v>
      </c>
      <c r="E131" s="12" t="s">
        <v>18</v>
      </c>
      <c r="F131">
        <v>2023</v>
      </c>
      <c r="G131" t="s">
        <v>546</v>
      </c>
      <c r="H131" s="12" t="s">
        <v>547</v>
      </c>
      <c r="I131" s="12" t="s">
        <v>548</v>
      </c>
      <c r="J131" s="12" t="s">
        <v>149</v>
      </c>
    </row>
    <row r="132" spans="1:11">
      <c r="A132">
        <v>24</v>
      </c>
      <c r="B132">
        <v>113</v>
      </c>
      <c r="C132" s="12" t="s">
        <v>549</v>
      </c>
      <c r="D132">
        <v>10</v>
      </c>
      <c r="E132" s="12" t="s">
        <v>18</v>
      </c>
      <c r="F132">
        <v>2023</v>
      </c>
      <c r="G132" t="s">
        <v>550</v>
      </c>
      <c r="H132" s="12" t="s">
        <v>551</v>
      </c>
      <c r="I132" s="12" t="s">
        <v>552</v>
      </c>
      <c r="J132" s="12" t="s">
        <v>149</v>
      </c>
    </row>
    <row r="133" spans="1:11">
      <c r="A133">
        <v>25</v>
      </c>
      <c r="B133">
        <v>114</v>
      </c>
      <c r="C133" s="12" t="s">
        <v>553</v>
      </c>
      <c r="D133">
        <v>10</v>
      </c>
      <c r="E133" s="12" t="s">
        <v>18</v>
      </c>
      <c r="F133">
        <v>2023</v>
      </c>
      <c r="G133" t="s">
        <v>576</v>
      </c>
      <c r="H133" s="12" t="s">
        <v>554</v>
      </c>
      <c r="I133" s="12" t="s">
        <v>555</v>
      </c>
      <c r="J133" s="12" t="s">
        <v>149</v>
      </c>
    </row>
    <row r="134" spans="1:11">
      <c r="A134">
        <v>26</v>
      </c>
      <c r="B134">
        <v>115</v>
      </c>
      <c r="C134" s="12" t="s">
        <v>556</v>
      </c>
      <c r="D134">
        <v>10</v>
      </c>
      <c r="E134" s="12" t="s">
        <v>18</v>
      </c>
      <c r="F134">
        <v>2023</v>
      </c>
      <c r="G134" t="s">
        <v>557</v>
      </c>
      <c r="H134" s="12" t="s">
        <v>558</v>
      </c>
      <c r="I134" s="12" t="s">
        <v>559</v>
      </c>
      <c r="J134" s="12" t="s">
        <v>149</v>
      </c>
    </row>
    <row r="135" spans="1:11">
      <c r="A135">
        <v>27</v>
      </c>
      <c r="B135">
        <v>116</v>
      </c>
      <c r="C135" s="12" t="s">
        <v>560</v>
      </c>
      <c r="D135">
        <v>10</v>
      </c>
      <c r="E135" s="12" t="s">
        <v>18</v>
      </c>
      <c r="F135">
        <v>2023</v>
      </c>
      <c r="G135" t="s">
        <v>561</v>
      </c>
      <c r="H135" s="12" t="s">
        <v>562</v>
      </c>
      <c r="I135" s="12" t="s">
        <v>563</v>
      </c>
      <c r="J135" s="12" t="s">
        <v>149</v>
      </c>
    </row>
    <row r="136" spans="1:11">
      <c r="A136">
        <v>28</v>
      </c>
      <c r="B136">
        <v>117</v>
      </c>
      <c r="C136" s="12" t="s">
        <v>564</v>
      </c>
      <c r="D136">
        <v>10</v>
      </c>
      <c r="E136" s="12" t="s">
        <v>18</v>
      </c>
      <c r="F136">
        <v>2023</v>
      </c>
      <c r="G136" t="s">
        <v>565</v>
      </c>
      <c r="H136" s="12" t="s">
        <v>566</v>
      </c>
      <c r="I136" s="12" t="s">
        <v>567</v>
      </c>
      <c r="J136" s="12" t="s">
        <v>149</v>
      </c>
    </row>
    <row r="137" spans="1:11">
      <c r="A137">
        <v>29</v>
      </c>
      <c r="B137">
        <v>118</v>
      </c>
      <c r="C137" s="12" t="s">
        <v>568</v>
      </c>
      <c r="D137">
        <v>10</v>
      </c>
      <c r="E137" s="12" t="s">
        <v>18</v>
      </c>
      <c r="F137">
        <v>2023</v>
      </c>
      <c r="G137" t="s">
        <v>569</v>
      </c>
      <c r="H137" s="12" t="s">
        <v>570</v>
      </c>
      <c r="I137" s="12" t="s">
        <v>571</v>
      </c>
      <c r="J137" s="12" t="s">
        <v>149</v>
      </c>
    </row>
    <row r="138" spans="1:11">
      <c r="E138" s="12"/>
      <c r="J138" s="12" t="s">
        <v>149</v>
      </c>
    </row>
    <row r="139" spans="1:11" ht="18">
      <c r="C139" s="77" t="s">
        <v>1252</v>
      </c>
      <c r="E139" s="12"/>
      <c r="J139" s="12"/>
    </row>
    <row r="140" spans="1:11">
      <c r="C140" s="10" t="s">
        <v>25</v>
      </c>
      <c r="D140" s="62" t="s">
        <v>10</v>
      </c>
      <c r="E140" s="62" t="s">
        <v>11</v>
      </c>
      <c r="F140" s="62" t="s">
        <v>12</v>
      </c>
      <c r="G140" s="2" t="s">
        <v>27</v>
      </c>
      <c r="H140" s="2" t="s">
        <v>26</v>
      </c>
      <c r="I140" s="2" t="s">
        <v>28</v>
      </c>
      <c r="J140" s="2" t="s">
        <v>9</v>
      </c>
      <c r="K140" s="64"/>
    </row>
    <row r="141" spans="1:11">
      <c r="A141">
        <v>1</v>
      </c>
      <c r="B141">
        <v>119</v>
      </c>
      <c r="C141" s="12" t="s">
        <v>583</v>
      </c>
      <c r="D141">
        <v>3</v>
      </c>
      <c r="E141" s="12" t="s">
        <v>584</v>
      </c>
      <c r="F141">
        <v>2023</v>
      </c>
      <c r="G141" s="12" t="s">
        <v>585</v>
      </c>
      <c r="H141" s="12" t="s">
        <v>586</v>
      </c>
      <c r="I141" s="12" t="s">
        <v>587</v>
      </c>
      <c r="J141" s="12" t="s">
        <v>149</v>
      </c>
    </row>
    <row r="142" spans="1:11">
      <c r="A142">
        <v>2</v>
      </c>
      <c r="B142">
        <v>120</v>
      </c>
      <c r="C142" s="12" t="s">
        <v>588</v>
      </c>
      <c r="D142">
        <v>3</v>
      </c>
      <c r="E142" s="12" t="s">
        <v>584</v>
      </c>
      <c r="F142">
        <v>2023</v>
      </c>
      <c r="G142" s="12" t="s">
        <v>589</v>
      </c>
      <c r="H142" s="12" t="s">
        <v>590</v>
      </c>
      <c r="I142" s="12" t="s">
        <v>591</v>
      </c>
      <c r="J142" s="12" t="s">
        <v>149</v>
      </c>
    </row>
    <row r="143" spans="1:11">
      <c r="A143">
        <v>3</v>
      </c>
      <c r="B143">
        <v>121</v>
      </c>
      <c r="C143" s="12" t="s">
        <v>592</v>
      </c>
      <c r="D143">
        <v>3</v>
      </c>
      <c r="E143" s="12" t="s">
        <v>584</v>
      </c>
      <c r="F143">
        <v>2023</v>
      </c>
      <c r="G143" s="12" t="s">
        <v>594</v>
      </c>
      <c r="H143" s="12" t="s">
        <v>593</v>
      </c>
      <c r="I143" s="12" t="s">
        <v>653</v>
      </c>
      <c r="J143" s="12" t="s">
        <v>149</v>
      </c>
    </row>
    <row r="144" spans="1:11">
      <c r="A144">
        <v>4</v>
      </c>
      <c r="B144">
        <v>122</v>
      </c>
      <c r="C144" s="12" t="s">
        <v>595</v>
      </c>
      <c r="D144">
        <v>3</v>
      </c>
      <c r="E144" s="12" t="s">
        <v>584</v>
      </c>
      <c r="F144">
        <v>2023</v>
      </c>
      <c r="G144" s="12" t="s">
        <v>596</v>
      </c>
      <c r="H144" s="12" t="s">
        <v>597</v>
      </c>
      <c r="I144" s="12" t="s">
        <v>598</v>
      </c>
      <c r="J144" s="12" t="s">
        <v>149</v>
      </c>
    </row>
    <row r="145" spans="1:10">
      <c r="A145">
        <v>5</v>
      </c>
      <c r="B145">
        <v>123</v>
      </c>
      <c r="C145" s="12" t="s">
        <v>599</v>
      </c>
      <c r="D145">
        <v>3</v>
      </c>
      <c r="E145" s="12" t="s">
        <v>584</v>
      </c>
      <c r="F145">
        <v>2023</v>
      </c>
      <c r="G145" s="12" t="s">
        <v>600</v>
      </c>
      <c r="H145" s="12" t="s">
        <v>601</v>
      </c>
      <c r="I145" s="12" t="s">
        <v>602</v>
      </c>
      <c r="J145" s="12" t="s">
        <v>149</v>
      </c>
    </row>
    <row r="146" spans="1:10">
      <c r="A146">
        <v>6</v>
      </c>
      <c r="B146">
        <v>124</v>
      </c>
      <c r="C146" s="12" t="s">
        <v>603</v>
      </c>
      <c r="D146">
        <v>3</v>
      </c>
      <c r="E146" s="12" t="s">
        <v>584</v>
      </c>
      <c r="F146">
        <v>2023</v>
      </c>
      <c r="G146" s="12" t="s">
        <v>649</v>
      </c>
      <c r="H146" s="12" t="s">
        <v>604</v>
      </c>
      <c r="I146" s="12" t="s">
        <v>609</v>
      </c>
      <c r="J146" s="12" t="s">
        <v>149</v>
      </c>
    </row>
    <row r="147" spans="1:10">
      <c r="A147">
        <v>7</v>
      </c>
      <c r="B147">
        <v>125</v>
      </c>
      <c r="C147" s="12" t="s">
        <v>607</v>
      </c>
      <c r="D147">
        <v>3</v>
      </c>
      <c r="E147" s="12" t="s">
        <v>584</v>
      </c>
      <c r="F147">
        <v>2023</v>
      </c>
      <c r="G147" s="12" t="s">
        <v>605</v>
      </c>
      <c r="H147" s="12" t="s">
        <v>608</v>
      </c>
      <c r="I147" s="12" t="s">
        <v>606</v>
      </c>
      <c r="J147" s="12" t="s">
        <v>149</v>
      </c>
    </row>
    <row r="148" spans="1:10">
      <c r="A148">
        <v>8</v>
      </c>
      <c r="B148">
        <v>126</v>
      </c>
      <c r="C148" s="12" t="s">
        <v>610</v>
      </c>
      <c r="D148">
        <v>3</v>
      </c>
      <c r="E148" s="12" t="s">
        <v>584</v>
      </c>
      <c r="F148">
        <v>2023</v>
      </c>
      <c r="G148" s="12" t="s">
        <v>611</v>
      </c>
      <c r="H148" s="12" t="s">
        <v>612</v>
      </c>
      <c r="I148" s="12" t="s">
        <v>613</v>
      </c>
      <c r="J148" s="12" t="s">
        <v>149</v>
      </c>
    </row>
    <row r="149" spans="1:10">
      <c r="A149">
        <v>9</v>
      </c>
      <c r="B149">
        <v>127</v>
      </c>
      <c r="C149" s="12" t="s">
        <v>614</v>
      </c>
      <c r="D149">
        <v>3</v>
      </c>
      <c r="E149" s="12" t="s">
        <v>584</v>
      </c>
      <c r="F149">
        <v>2023</v>
      </c>
      <c r="G149" s="12" t="s">
        <v>615</v>
      </c>
      <c r="H149" s="12" t="s">
        <v>616</v>
      </c>
      <c r="I149" s="12" t="s">
        <v>617</v>
      </c>
      <c r="J149" s="12" t="s">
        <v>149</v>
      </c>
    </row>
    <row r="150" spans="1:10">
      <c r="A150">
        <v>10</v>
      </c>
      <c r="B150">
        <v>128</v>
      </c>
      <c r="C150" s="12" t="s">
        <v>618</v>
      </c>
      <c r="D150">
        <v>3</v>
      </c>
      <c r="E150" s="12" t="s">
        <v>584</v>
      </c>
      <c r="F150">
        <v>2023</v>
      </c>
      <c r="G150" s="12" t="s">
        <v>619</v>
      </c>
      <c r="H150" s="12" t="s">
        <v>620</v>
      </c>
      <c r="I150" s="12" t="s">
        <v>650</v>
      </c>
      <c r="J150" s="12" t="s">
        <v>149</v>
      </c>
    </row>
    <row r="151" spans="1:10">
      <c r="A151">
        <v>11</v>
      </c>
      <c r="B151">
        <v>129</v>
      </c>
      <c r="C151" s="12" t="s">
        <v>621</v>
      </c>
      <c r="D151">
        <v>3</v>
      </c>
      <c r="E151" s="12" t="s">
        <v>584</v>
      </c>
      <c r="F151">
        <v>2023</v>
      </c>
      <c r="G151" s="12" t="s">
        <v>622</v>
      </c>
      <c r="H151" s="12" t="s">
        <v>623</v>
      </c>
      <c r="I151" s="12" t="s">
        <v>624</v>
      </c>
      <c r="J151" s="12" t="s">
        <v>149</v>
      </c>
    </row>
    <row r="152" spans="1:10">
      <c r="A152">
        <v>12</v>
      </c>
      <c r="B152">
        <v>130</v>
      </c>
      <c r="C152" s="12" t="s">
        <v>625</v>
      </c>
      <c r="D152">
        <v>3</v>
      </c>
      <c r="E152" s="12" t="s">
        <v>584</v>
      </c>
      <c r="F152">
        <v>2023</v>
      </c>
      <c r="G152" s="12" t="s">
        <v>626</v>
      </c>
      <c r="H152" s="12" t="s">
        <v>627</v>
      </c>
      <c r="I152" s="12" t="s">
        <v>628</v>
      </c>
      <c r="J152" s="12" t="s">
        <v>149</v>
      </c>
    </row>
    <row r="153" spans="1:10">
      <c r="A153">
        <v>13</v>
      </c>
      <c r="B153">
        <v>131</v>
      </c>
      <c r="C153" s="12" t="s">
        <v>629</v>
      </c>
      <c r="D153">
        <v>3</v>
      </c>
      <c r="E153" s="12" t="s">
        <v>584</v>
      </c>
      <c r="F153">
        <v>2023</v>
      </c>
      <c r="G153" s="12" t="s">
        <v>630</v>
      </c>
      <c r="H153" s="12" t="s">
        <v>631</v>
      </c>
      <c r="I153" s="12" t="s">
        <v>632</v>
      </c>
      <c r="J153" s="12" t="s">
        <v>149</v>
      </c>
    </row>
    <row r="154" spans="1:10">
      <c r="A154">
        <v>14</v>
      </c>
      <c r="B154">
        <v>132</v>
      </c>
      <c r="C154" s="12" t="s">
        <v>633</v>
      </c>
      <c r="D154">
        <v>3</v>
      </c>
      <c r="E154" s="12" t="s">
        <v>584</v>
      </c>
      <c r="F154">
        <v>2023</v>
      </c>
      <c r="G154" s="12" t="s">
        <v>634</v>
      </c>
      <c r="H154" s="12" t="s">
        <v>635</v>
      </c>
      <c r="I154" s="12" t="s">
        <v>636</v>
      </c>
      <c r="J154" s="12" t="s">
        <v>149</v>
      </c>
    </row>
    <row r="155" spans="1:10">
      <c r="A155">
        <v>15</v>
      </c>
      <c r="B155">
        <v>133</v>
      </c>
      <c r="C155" s="12" t="s">
        <v>637</v>
      </c>
      <c r="D155">
        <v>3</v>
      </c>
      <c r="E155" s="12" t="s">
        <v>584</v>
      </c>
      <c r="F155">
        <v>2023</v>
      </c>
      <c r="G155" s="12" t="s">
        <v>638</v>
      </c>
      <c r="H155" s="12" t="s">
        <v>639</v>
      </c>
      <c r="I155" s="12" t="s">
        <v>717</v>
      </c>
      <c r="J155" s="12" t="s">
        <v>149</v>
      </c>
    </row>
    <row r="156" spans="1:10">
      <c r="A156">
        <v>16</v>
      </c>
      <c r="B156">
        <v>134</v>
      </c>
      <c r="C156" s="12" t="s">
        <v>640</v>
      </c>
      <c r="D156">
        <v>3</v>
      </c>
      <c r="E156" s="12" t="s">
        <v>584</v>
      </c>
      <c r="F156">
        <v>2023</v>
      </c>
      <c r="G156" s="12" t="s">
        <v>641</v>
      </c>
      <c r="H156" s="12" t="s">
        <v>642</v>
      </c>
      <c r="I156" s="12" t="s">
        <v>651</v>
      </c>
      <c r="J156" s="12" t="s">
        <v>149</v>
      </c>
    </row>
    <row r="157" spans="1:10">
      <c r="A157">
        <v>17</v>
      </c>
      <c r="B157">
        <v>135</v>
      </c>
      <c r="C157" s="12" t="s">
        <v>652</v>
      </c>
      <c r="D157">
        <v>3</v>
      </c>
      <c r="E157" s="12" t="s">
        <v>584</v>
      </c>
      <c r="F157">
        <v>2023</v>
      </c>
      <c r="G157" s="12" t="s">
        <v>634</v>
      </c>
      <c r="H157" s="12" t="s">
        <v>635</v>
      </c>
      <c r="I157" s="12" t="s">
        <v>643</v>
      </c>
      <c r="J157" s="12" t="s">
        <v>149</v>
      </c>
    </row>
    <row r="158" spans="1:10">
      <c r="A158">
        <v>18</v>
      </c>
      <c r="B158">
        <v>136</v>
      </c>
      <c r="C158" s="12" t="s">
        <v>644</v>
      </c>
      <c r="D158">
        <v>3</v>
      </c>
      <c r="E158" s="12" t="s">
        <v>584</v>
      </c>
      <c r="F158">
        <v>2023</v>
      </c>
      <c r="G158" s="12" t="s">
        <v>645</v>
      </c>
      <c r="H158" s="12" t="s">
        <v>653</v>
      </c>
      <c r="I158" s="12" t="s">
        <v>593</v>
      </c>
      <c r="J158" s="12" t="s">
        <v>149</v>
      </c>
    </row>
    <row r="159" spans="1:10">
      <c r="A159">
        <v>19</v>
      </c>
      <c r="B159">
        <v>137</v>
      </c>
      <c r="C159" s="12" t="s">
        <v>646</v>
      </c>
      <c r="D159">
        <v>3</v>
      </c>
      <c r="E159" s="12" t="s">
        <v>584</v>
      </c>
      <c r="F159">
        <v>2023</v>
      </c>
      <c r="G159" s="12" t="s">
        <v>647</v>
      </c>
      <c r="H159" s="12" t="s">
        <v>648</v>
      </c>
      <c r="I159" s="12" t="s">
        <v>654</v>
      </c>
      <c r="J159" s="12" t="s">
        <v>149</v>
      </c>
    </row>
    <row r="160" spans="1:10">
      <c r="E160" s="12"/>
    </row>
    <row r="161" spans="1:11" ht="18">
      <c r="C161" s="77" t="s">
        <v>1253</v>
      </c>
      <c r="E161" s="12"/>
    </row>
    <row r="162" spans="1:11">
      <c r="C162" s="10" t="s">
        <v>25</v>
      </c>
      <c r="D162" s="65" t="s">
        <v>10</v>
      </c>
      <c r="E162" s="65" t="s">
        <v>11</v>
      </c>
      <c r="F162" s="65" t="s">
        <v>12</v>
      </c>
      <c r="G162" s="2" t="s">
        <v>27</v>
      </c>
      <c r="H162" s="2" t="s">
        <v>26</v>
      </c>
      <c r="I162" s="2" t="s">
        <v>28</v>
      </c>
      <c r="J162" s="2" t="s">
        <v>9</v>
      </c>
      <c r="K162" s="64"/>
    </row>
    <row r="163" spans="1:11">
      <c r="A163">
        <v>1</v>
      </c>
      <c r="B163">
        <v>138</v>
      </c>
      <c r="C163" t="s">
        <v>660</v>
      </c>
      <c r="D163">
        <v>10</v>
      </c>
      <c r="E163" s="12" t="s">
        <v>18</v>
      </c>
      <c r="F163">
        <v>2023</v>
      </c>
      <c r="G163" t="s">
        <v>716</v>
      </c>
      <c r="H163" t="s">
        <v>661</v>
      </c>
      <c r="I163" t="s">
        <v>662</v>
      </c>
      <c r="J163" s="12" t="s">
        <v>149</v>
      </c>
    </row>
    <row r="164" spans="1:11">
      <c r="A164">
        <v>2</v>
      </c>
      <c r="B164">
        <v>139</v>
      </c>
      <c r="C164" t="s">
        <v>663</v>
      </c>
      <c r="D164">
        <v>10</v>
      </c>
      <c r="E164" s="12" t="s">
        <v>18</v>
      </c>
      <c r="F164">
        <v>2023</v>
      </c>
      <c r="G164" t="s">
        <v>664</v>
      </c>
      <c r="H164" t="s">
        <v>665</v>
      </c>
      <c r="I164" t="s">
        <v>666</v>
      </c>
      <c r="J164" s="12" t="s">
        <v>149</v>
      </c>
    </row>
    <row r="165" spans="1:11">
      <c r="A165">
        <v>3</v>
      </c>
      <c r="B165">
        <v>140</v>
      </c>
      <c r="C165" s="12" t="s">
        <v>712</v>
      </c>
      <c r="D165">
        <v>10</v>
      </c>
      <c r="E165" s="12" t="s">
        <v>18</v>
      </c>
      <c r="F165">
        <v>2023</v>
      </c>
      <c r="G165" s="12" t="s">
        <v>713</v>
      </c>
      <c r="H165" s="12" t="s">
        <v>714</v>
      </c>
      <c r="I165" s="12" t="s">
        <v>715</v>
      </c>
      <c r="J165" s="12" t="s">
        <v>149</v>
      </c>
    </row>
    <row r="166" spans="1:11">
      <c r="A166">
        <v>4</v>
      </c>
      <c r="B166">
        <v>141</v>
      </c>
      <c r="C166" t="s">
        <v>667</v>
      </c>
      <c r="D166">
        <v>10</v>
      </c>
      <c r="E166" s="12" t="s">
        <v>18</v>
      </c>
      <c r="F166">
        <v>2023</v>
      </c>
      <c r="G166" t="s">
        <v>668</v>
      </c>
      <c r="H166" t="s">
        <v>669</v>
      </c>
      <c r="I166" t="s">
        <v>670</v>
      </c>
      <c r="J166" s="12" t="s">
        <v>149</v>
      </c>
    </row>
    <row r="167" spans="1:11">
      <c r="A167">
        <v>5</v>
      </c>
      <c r="B167">
        <v>142</v>
      </c>
      <c r="C167" t="s">
        <v>671</v>
      </c>
      <c r="D167">
        <v>10</v>
      </c>
      <c r="E167" s="12" t="s">
        <v>18</v>
      </c>
      <c r="F167">
        <v>2023</v>
      </c>
      <c r="G167" t="s">
        <v>672</v>
      </c>
      <c r="H167" t="s">
        <v>673</v>
      </c>
      <c r="I167" t="s">
        <v>674</v>
      </c>
      <c r="J167" s="12" t="s">
        <v>149</v>
      </c>
    </row>
    <row r="168" spans="1:11">
      <c r="A168">
        <v>6</v>
      </c>
      <c r="B168">
        <v>143</v>
      </c>
      <c r="C168" t="s">
        <v>827</v>
      </c>
      <c r="D168">
        <v>10</v>
      </c>
      <c r="E168" s="12" t="s">
        <v>18</v>
      </c>
      <c r="F168">
        <v>2023</v>
      </c>
      <c r="G168" t="s">
        <v>675</v>
      </c>
      <c r="H168" t="s">
        <v>676</v>
      </c>
      <c r="I168" t="s">
        <v>677</v>
      </c>
      <c r="J168" s="12" t="s">
        <v>149</v>
      </c>
    </row>
    <row r="169" spans="1:11">
      <c r="A169">
        <v>7</v>
      </c>
      <c r="B169">
        <v>144</v>
      </c>
      <c r="C169" t="s">
        <v>678</v>
      </c>
      <c r="D169">
        <v>10</v>
      </c>
      <c r="E169" s="12" t="s">
        <v>18</v>
      </c>
      <c r="F169">
        <v>2023</v>
      </c>
      <c r="G169" t="s">
        <v>679</v>
      </c>
      <c r="H169" t="s">
        <v>680</v>
      </c>
      <c r="I169" t="s">
        <v>681</v>
      </c>
      <c r="J169" s="12" t="s">
        <v>149</v>
      </c>
    </row>
    <row r="170" spans="1:11">
      <c r="A170">
        <v>8</v>
      </c>
      <c r="B170">
        <v>145</v>
      </c>
      <c r="C170" s="12" t="s">
        <v>708</v>
      </c>
      <c r="D170">
        <v>10</v>
      </c>
      <c r="E170" s="12" t="s">
        <v>18</v>
      </c>
      <c r="F170">
        <v>2023</v>
      </c>
      <c r="G170" s="12" t="s">
        <v>709</v>
      </c>
      <c r="H170" s="12" t="s">
        <v>710</v>
      </c>
      <c r="I170" s="12" t="s">
        <v>711</v>
      </c>
      <c r="J170" s="12" t="s">
        <v>149</v>
      </c>
    </row>
    <row r="171" spans="1:11">
      <c r="A171">
        <v>9</v>
      </c>
      <c r="B171">
        <v>146</v>
      </c>
      <c r="C171" t="s">
        <v>718</v>
      </c>
      <c r="D171">
        <v>10</v>
      </c>
      <c r="E171" s="12" t="s">
        <v>18</v>
      </c>
      <c r="F171">
        <v>2023</v>
      </c>
      <c r="G171" t="s">
        <v>719</v>
      </c>
      <c r="H171" t="s">
        <v>828</v>
      </c>
      <c r="I171" s="61" t="s">
        <v>682</v>
      </c>
      <c r="J171" s="12" t="s">
        <v>149</v>
      </c>
    </row>
    <row r="172" spans="1:11">
      <c r="A172">
        <v>10</v>
      </c>
      <c r="B172">
        <v>147</v>
      </c>
      <c r="C172" s="12" t="s">
        <v>683</v>
      </c>
      <c r="D172">
        <v>10</v>
      </c>
      <c r="E172" s="12" t="s">
        <v>18</v>
      </c>
      <c r="F172">
        <v>2023</v>
      </c>
      <c r="G172" s="12" t="s">
        <v>684</v>
      </c>
      <c r="H172" s="12" t="s">
        <v>685</v>
      </c>
      <c r="I172" s="12" t="s">
        <v>686</v>
      </c>
      <c r="J172" s="12" t="s">
        <v>149</v>
      </c>
    </row>
    <row r="173" spans="1:11">
      <c r="A173">
        <v>11</v>
      </c>
      <c r="B173">
        <v>148</v>
      </c>
      <c r="C173" s="12" t="s">
        <v>687</v>
      </c>
      <c r="D173">
        <v>10</v>
      </c>
      <c r="E173" s="12" t="s">
        <v>18</v>
      </c>
      <c r="F173">
        <v>2023</v>
      </c>
      <c r="G173" s="12" t="s">
        <v>688</v>
      </c>
      <c r="H173" s="12" t="s">
        <v>689</v>
      </c>
      <c r="I173" s="12" t="s">
        <v>690</v>
      </c>
      <c r="J173" s="12" t="s">
        <v>149</v>
      </c>
    </row>
    <row r="174" spans="1:11">
      <c r="A174">
        <v>12</v>
      </c>
      <c r="B174">
        <v>149</v>
      </c>
      <c r="C174" s="12" t="s">
        <v>691</v>
      </c>
      <c r="D174">
        <v>10</v>
      </c>
      <c r="E174" s="12" t="s">
        <v>18</v>
      </c>
      <c r="F174">
        <v>2023</v>
      </c>
      <c r="G174" s="12" t="s">
        <v>692</v>
      </c>
      <c r="H174" s="12" t="s">
        <v>693</v>
      </c>
      <c r="I174" s="12" t="s">
        <v>674</v>
      </c>
      <c r="J174" s="12" t="s">
        <v>149</v>
      </c>
    </row>
    <row r="175" spans="1:11">
      <c r="A175">
        <v>13</v>
      </c>
      <c r="B175">
        <v>150</v>
      </c>
      <c r="C175" s="12" t="s">
        <v>720</v>
      </c>
      <c r="D175">
        <v>10</v>
      </c>
      <c r="E175" s="12" t="s">
        <v>18</v>
      </c>
      <c r="F175">
        <v>2023</v>
      </c>
      <c r="G175" s="12" t="s">
        <v>696</v>
      </c>
      <c r="H175" s="12" t="s">
        <v>694</v>
      </c>
      <c r="I175" s="12" t="s">
        <v>695</v>
      </c>
      <c r="J175" s="12" t="s">
        <v>149</v>
      </c>
    </row>
    <row r="176" spans="1:11">
      <c r="A176">
        <v>14</v>
      </c>
      <c r="B176">
        <v>151</v>
      </c>
      <c r="C176" s="12" t="s">
        <v>721</v>
      </c>
      <c r="D176">
        <v>10</v>
      </c>
      <c r="E176" s="12" t="s">
        <v>18</v>
      </c>
      <c r="F176">
        <v>2023</v>
      </c>
      <c r="G176" s="12" t="s">
        <v>696</v>
      </c>
      <c r="H176" s="12" t="s">
        <v>694</v>
      </c>
      <c r="I176" s="12" t="s">
        <v>697</v>
      </c>
      <c r="J176" s="12" t="s">
        <v>149</v>
      </c>
    </row>
    <row r="177" spans="1:11">
      <c r="A177">
        <v>15</v>
      </c>
      <c r="B177">
        <v>152</v>
      </c>
      <c r="C177" s="12" t="s">
        <v>851</v>
      </c>
      <c r="D177">
        <v>10</v>
      </c>
      <c r="E177" s="12" t="s">
        <v>18</v>
      </c>
      <c r="F177">
        <v>2023</v>
      </c>
      <c r="G177" s="12" t="s">
        <v>698</v>
      </c>
      <c r="H177" s="12" t="s">
        <v>699</v>
      </c>
      <c r="I177" s="12" t="s">
        <v>700</v>
      </c>
      <c r="J177" s="12" t="s">
        <v>149</v>
      </c>
    </row>
    <row r="178" spans="1:11">
      <c r="A178">
        <v>16</v>
      </c>
      <c r="B178">
        <v>153</v>
      </c>
      <c r="C178" s="12" t="s">
        <v>701</v>
      </c>
      <c r="D178">
        <v>10</v>
      </c>
      <c r="E178" s="12" t="s">
        <v>18</v>
      </c>
      <c r="F178">
        <v>2023</v>
      </c>
      <c r="G178" s="12" t="s">
        <v>702</v>
      </c>
      <c r="H178" s="12" t="s">
        <v>703</v>
      </c>
      <c r="I178" s="12" t="s">
        <v>704</v>
      </c>
      <c r="J178" s="12" t="s">
        <v>149</v>
      </c>
    </row>
    <row r="179" spans="1:11">
      <c r="A179">
        <v>17</v>
      </c>
      <c r="B179">
        <v>154</v>
      </c>
      <c r="C179" s="12" t="s">
        <v>705</v>
      </c>
      <c r="D179">
        <v>10</v>
      </c>
      <c r="E179" s="12" t="s">
        <v>18</v>
      </c>
      <c r="F179">
        <v>2023</v>
      </c>
      <c r="G179" s="12" t="s">
        <v>706</v>
      </c>
      <c r="H179" s="12" t="s">
        <v>707</v>
      </c>
      <c r="I179" s="12" t="s">
        <v>853</v>
      </c>
      <c r="J179" s="12" t="s">
        <v>149</v>
      </c>
    </row>
    <row r="181" spans="1:11" ht="18">
      <c r="C181" s="77" t="s">
        <v>1254</v>
      </c>
    </row>
    <row r="182" spans="1:11">
      <c r="C182" s="10" t="s">
        <v>25</v>
      </c>
      <c r="D182" s="66" t="s">
        <v>10</v>
      </c>
      <c r="E182" s="66" t="s">
        <v>11</v>
      </c>
      <c r="F182" s="66" t="s">
        <v>12</v>
      </c>
      <c r="G182" s="2" t="s">
        <v>27</v>
      </c>
      <c r="H182" s="2" t="s">
        <v>26</v>
      </c>
      <c r="I182" s="2" t="s">
        <v>28</v>
      </c>
      <c r="J182" s="2" t="s">
        <v>9</v>
      </c>
      <c r="K182" s="64"/>
    </row>
    <row r="183" spans="1:11">
      <c r="A183">
        <v>1</v>
      </c>
      <c r="B183">
        <v>155</v>
      </c>
      <c r="C183" t="s">
        <v>722</v>
      </c>
      <c r="D183">
        <v>9</v>
      </c>
      <c r="E183" s="12" t="s">
        <v>18</v>
      </c>
      <c r="F183">
        <v>2023</v>
      </c>
      <c r="G183" t="s">
        <v>723</v>
      </c>
      <c r="H183" t="s">
        <v>724</v>
      </c>
      <c r="I183" t="s">
        <v>725</v>
      </c>
      <c r="J183" s="12" t="s">
        <v>149</v>
      </c>
    </row>
    <row r="184" spans="1:11">
      <c r="A184">
        <v>2</v>
      </c>
      <c r="B184">
        <v>156</v>
      </c>
      <c r="C184" s="12" t="s">
        <v>730</v>
      </c>
      <c r="D184">
        <v>9</v>
      </c>
      <c r="E184" s="12" t="s">
        <v>18</v>
      </c>
      <c r="F184">
        <v>2023</v>
      </c>
      <c r="G184" s="12" t="s">
        <v>512</v>
      </c>
      <c r="H184" s="12" t="s">
        <v>513</v>
      </c>
      <c r="I184" s="12" t="s">
        <v>731</v>
      </c>
      <c r="J184" s="12" t="s">
        <v>149</v>
      </c>
    </row>
    <row r="185" spans="1:11">
      <c r="A185">
        <v>3</v>
      </c>
      <c r="B185">
        <v>157</v>
      </c>
      <c r="C185" t="s">
        <v>726</v>
      </c>
      <c r="D185">
        <v>9</v>
      </c>
      <c r="E185" s="12" t="s">
        <v>18</v>
      </c>
      <c r="F185">
        <v>2023</v>
      </c>
      <c r="G185" t="s">
        <v>727</v>
      </c>
      <c r="H185" t="s">
        <v>728</v>
      </c>
      <c r="I185" s="61" t="s">
        <v>729</v>
      </c>
      <c r="J185" s="12" t="s">
        <v>149</v>
      </c>
    </row>
    <row r="186" spans="1:11">
      <c r="A186">
        <v>4</v>
      </c>
      <c r="B186">
        <v>158</v>
      </c>
      <c r="C186" s="12" t="s">
        <v>732</v>
      </c>
      <c r="D186">
        <v>9</v>
      </c>
      <c r="E186" s="12" t="s">
        <v>18</v>
      </c>
      <c r="F186">
        <v>2023</v>
      </c>
      <c r="G186" s="12" t="s">
        <v>733</v>
      </c>
      <c r="H186" s="12" t="s">
        <v>734</v>
      </c>
      <c r="I186" s="12" t="s">
        <v>735</v>
      </c>
      <c r="J186" s="12" t="s">
        <v>149</v>
      </c>
    </row>
    <row r="187" spans="1:11">
      <c r="A187">
        <v>5</v>
      </c>
      <c r="B187">
        <v>159</v>
      </c>
      <c r="C187" s="12" t="s">
        <v>973</v>
      </c>
      <c r="D187">
        <v>9</v>
      </c>
      <c r="E187" s="12" t="s">
        <v>18</v>
      </c>
      <c r="F187">
        <v>2023</v>
      </c>
      <c r="H187" s="12" t="s">
        <v>736</v>
      </c>
      <c r="I187" s="12" t="s">
        <v>737</v>
      </c>
      <c r="J187" s="12" t="s">
        <v>149</v>
      </c>
    </row>
    <row r="188" spans="1:11">
      <c r="A188">
        <v>6</v>
      </c>
      <c r="B188">
        <v>160</v>
      </c>
      <c r="C188" s="12" t="s">
        <v>738</v>
      </c>
      <c r="D188">
        <v>9</v>
      </c>
      <c r="E188" s="12" t="s">
        <v>18</v>
      </c>
      <c r="F188">
        <v>2023</v>
      </c>
      <c r="G188" s="12" t="s">
        <v>739</v>
      </c>
      <c r="H188" s="12" t="s">
        <v>740</v>
      </c>
      <c r="I188" s="12" t="s">
        <v>852</v>
      </c>
      <c r="J188" s="12" t="s">
        <v>149</v>
      </c>
    </row>
    <row r="189" spans="1:11">
      <c r="A189">
        <v>7</v>
      </c>
      <c r="B189">
        <v>161</v>
      </c>
      <c r="C189" s="12" t="s">
        <v>741</v>
      </c>
      <c r="D189">
        <v>9</v>
      </c>
      <c r="E189" s="12" t="s">
        <v>18</v>
      </c>
      <c r="F189">
        <v>2023</v>
      </c>
      <c r="G189" s="12" t="s">
        <v>742</v>
      </c>
      <c r="H189" s="12" t="s">
        <v>743</v>
      </c>
      <c r="I189" s="12" t="s">
        <v>744</v>
      </c>
      <c r="J189" s="12" t="s">
        <v>149</v>
      </c>
    </row>
    <row r="190" spans="1:11">
      <c r="A190">
        <v>8</v>
      </c>
      <c r="B190">
        <v>162</v>
      </c>
      <c r="C190" s="12" t="s">
        <v>745</v>
      </c>
      <c r="D190">
        <v>9</v>
      </c>
      <c r="E190" s="12" t="s">
        <v>18</v>
      </c>
      <c r="F190">
        <v>2023</v>
      </c>
      <c r="G190" s="12" t="s">
        <v>746</v>
      </c>
      <c r="H190" s="12" t="s">
        <v>747</v>
      </c>
      <c r="I190" s="12" t="s">
        <v>748</v>
      </c>
      <c r="J190" s="12" t="s">
        <v>149</v>
      </c>
    </row>
    <row r="191" spans="1:11">
      <c r="A191">
        <v>9</v>
      </c>
      <c r="B191">
        <v>163</v>
      </c>
      <c r="C191" s="12" t="s">
        <v>970</v>
      </c>
      <c r="D191">
        <v>9</v>
      </c>
      <c r="E191" s="12" t="s">
        <v>18</v>
      </c>
      <c r="F191">
        <v>2023</v>
      </c>
      <c r="G191" s="12" t="s">
        <v>414</v>
      </c>
      <c r="H191" s="12" t="s">
        <v>415</v>
      </c>
      <c r="I191" s="12" t="s">
        <v>749</v>
      </c>
      <c r="J191" s="12" t="s">
        <v>149</v>
      </c>
    </row>
    <row r="192" spans="1:11">
      <c r="A192">
        <v>10</v>
      </c>
      <c r="B192">
        <v>164</v>
      </c>
      <c r="C192" s="12" t="s">
        <v>750</v>
      </c>
      <c r="D192">
        <v>9</v>
      </c>
      <c r="E192" s="12" t="s">
        <v>18</v>
      </c>
      <c r="F192">
        <v>2023</v>
      </c>
      <c r="G192" s="12" t="s">
        <v>751</v>
      </c>
      <c r="H192" s="12" t="s">
        <v>752</v>
      </c>
      <c r="I192" s="12" t="s">
        <v>753</v>
      </c>
      <c r="J192" s="12" t="s">
        <v>149</v>
      </c>
    </row>
    <row r="193" spans="1:11">
      <c r="A193">
        <v>11</v>
      </c>
      <c r="B193">
        <v>165</v>
      </c>
      <c r="C193" s="12" t="s">
        <v>754</v>
      </c>
      <c r="D193">
        <v>9</v>
      </c>
      <c r="E193" s="12" t="s">
        <v>18</v>
      </c>
      <c r="F193">
        <v>2023</v>
      </c>
      <c r="G193" s="12" t="s">
        <v>755</v>
      </c>
      <c r="H193" s="12" t="s">
        <v>756</v>
      </c>
      <c r="I193" s="12" t="s">
        <v>757</v>
      </c>
      <c r="J193" s="12" t="s">
        <v>149</v>
      </c>
    </row>
    <row r="194" spans="1:11">
      <c r="A194">
        <v>12</v>
      </c>
      <c r="B194">
        <v>166</v>
      </c>
      <c r="C194" s="12" t="s">
        <v>972</v>
      </c>
      <c r="D194">
        <v>9</v>
      </c>
      <c r="E194" s="12" t="s">
        <v>18</v>
      </c>
      <c r="F194">
        <v>2023</v>
      </c>
      <c r="G194" s="12" t="s">
        <v>762</v>
      </c>
      <c r="H194" s="12" t="s">
        <v>763</v>
      </c>
      <c r="I194" s="12" t="s">
        <v>764</v>
      </c>
      <c r="J194" s="12" t="s">
        <v>149</v>
      </c>
    </row>
    <row r="195" spans="1:11">
      <c r="A195">
        <v>13</v>
      </c>
      <c r="B195">
        <v>167</v>
      </c>
      <c r="C195" s="12" t="s">
        <v>758</v>
      </c>
      <c r="D195">
        <v>9</v>
      </c>
      <c r="E195" s="12" t="s">
        <v>18</v>
      </c>
      <c r="F195">
        <v>2023</v>
      </c>
      <c r="G195" s="12" t="s">
        <v>759</v>
      </c>
      <c r="H195" s="12" t="s">
        <v>760</v>
      </c>
      <c r="I195" s="12" t="s">
        <v>761</v>
      </c>
      <c r="J195" s="12" t="s">
        <v>149</v>
      </c>
    </row>
    <row r="196" spans="1:11">
      <c r="A196">
        <v>14</v>
      </c>
      <c r="B196">
        <v>168</v>
      </c>
      <c r="C196" s="12" t="s">
        <v>765</v>
      </c>
      <c r="D196">
        <v>9</v>
      </c>
      <c r="E196" s="12" t="s">
        <v>18</v>
      </c>
      <c r="F196">
        <v>2023</v>
      </c>
      <c r="G196" s="12"/>
      <c r="H196" s="12" t="s">
        <v>766</v>
      </c>
      <c r="I196" s="12" t="s">
        <v>767</v>
      </c>
      <c r="J196" s="12" t="s">
        <v>149</v>
      </c>
    </row>
    <row r="197" spans="1:11">
      <c r="A197">
        <v>15</v>
      </c>
      <c r="B197">
        <v>169</v>
      </c>
      <c r="C197" s="12" t="s">
        <v>768</v>
      </c>
      <c r="D197">
        <v>9</v>
      </c>
      <c r="E197" s="12" t="s">
        <v>18</v>
      </c>
      <c r="F197">
        <v>2023</v>
      </c>
      <c r="G197" s="12" t="s">
        <v>769</v>
      </c>
      <c r="H197" s="12" t="s">
        <v>770</v>
      </c>
      <c r="I197" s="12" t="s">
        <v>771</v>
      </c>
      <c r="J197" s="12" t="s">
        <v>149</v>
      </c>
    </row>
    <row r="198" spans="1:11">
      <c r="E198" s="12"/>
      <c r="J198" s="12"/>
    </row>
    <row r="199" spans="1:11" ht="18">
      <c r="C199" s="77" t="s">
        <v>1255</v>
      </c>
      <c r="E199" s="12"/>
      <c r="J199" s="12"/>
    </row>
    <row r="200" spans="1:11">
      <c r="C200" s="10" t="s">
        <v>25</v>
      </c>
      <c r="D200" s="67" t="s">
        <v>10</v>
      </c>
      <c r="E200" s="67" t="s">
        <v>11</v>
      </c>
      <c r="F200" s="67" t="s">
        <v>12</v>
      </c>
      <c r="G200" s="2" t="s">
        <v>27</v>
      </c>
      <c r="H200" s="2" t="s">
        <v>26</v>
      </c>
      <c r="I200" s="2" t="s">
        <v>28</v>
      </c>
      <c r="J200" s="2" t="s">
        <v>9</v>
      </c>
      <c r="K200" s="64"/>
    </row>
    <row r="201" spans="1:11">
      <c r="A201">
        <v>1</v>
      </c>
      <c r="B201">
        <v>170</v>
      </c>
      <c r="C201" t="s">
        <v>838</v>
      </c>
      <c r="D201">
        <v>2</v>
      </c>
      <c r="E201" s="12" t="s">
        <v>18</v>
      </c>
      <c r="F201">
        <v>2023</v>
      </c>
      <c r="G201" t="s">
        <v>818</v>
      </c>
      <c r="H201" t="s">
        <v>819</v>
      </c>
      <c r="I201" t="s">
        <v>820</v>
      </c>
      <c r="J201" s="12" t="s">
        <v>149</v>
      </c>
    </row>
    <row r="202" spans="1:11">
      <c r="A202">
        <v>2</v>
      </c>
      <c r="B202">
        <v>171</v>
      </c>
      <c r="C202" t="s">
        <v>772</v>
      </c>
      <c r="D202">
        <v>2</v>
      </c>
      <c r="E202" s="12" t="s">
        <v>18</v>
      </c>
      <c r="F202">
        <v>2023</v>
      </c>
      <c r="G202" t="s">
        <v>773</v>
      </c>
      <c r="H202" t="s">
        <v>774</v>
      </c>
      <c r="I202" t="s">
        <v>775</v>
      </c>
      <c r="J202" s="12" t="s">
        <v>149</v>
      </c>
    </row>
    <row r="203" spans="1:11">
      <c r="A203">
        <v>3</v>
      </c>
      <c r="B203">
        <v>172</v>
      </c>
      <c r="C203" t="s">
        <v>776</v>
      </c>
      <c r="D203">
        <v>2</v>
      </c>
      <c r="E203" s="12" t="s">
        <v>18</v>
      </c>
      <c r="F203">
        <v>2023</v>
      </c>
      <c r="G203" t="s">
        <v>777</v>
      </c>
      <c r="H203" t="s">
        <v>778</v>
      </c>
      <c r="I203" t="s">
        <v>821</v>
      </c>
      <c r="J203" s="12" t="s">
        <v>149</v>
      </c>
    </row>
    <row r="204" spans="1:11">
      <c r="A204">
        <v>4</v>
      </c>
      <c r="B204">
        <v>173</v>
      </c>
      <c r="C204" t="s">
        <v>779</v>
      </c>
      <c r="D204">
        <v>2</v>
      </c>
      <c r="E204" s="12" t="s">
        <v>18</v>
      </c>
      <c r="F204">
        <v>2023</v>
      </c>
      <c r="G204" t="s">
        <v>780</v>
      </c>
      <c r="H204" t="s">
        <v>831</v>
      </c>
      <c r="I204" t="s">
        <v>781</v>
      </c>
      <c r="J204" s="12" t="s">
        <v>149</v>
      </c>
    </row>
    <row r="205" spans="1:11">
      <c r="A205">
        <v>5</v>
      </c>
      <c r="B205">
        <v>174</v>
      </c>
      <c r="C205" t="s">
        <v>782</v>
      </c>
      <c r="D205">
        <v>2</v>
      </c>
      <c r="E205" s="12" t="s">
        <v>18</v>
      </c>
      <c r="F205">
        <v>2023</v>
      </c>
      <c r="G205" t="s">
        <v>783</v>
      </c>
      <c r="H205" t="s">
        <v>784</v>
      </c>
      <c r="I205" t="s">
        <v>785</v>
      </c>
      <c r="J205" s="12" t="s">
        <v>149</v>
      </c>
    </row>
    <row r="206" spans="1:11">
      <c r="A206">
        <v>6</v>
      </c>
      <c r="B206">
        <v>175</v>
      </c>
      <c r="C206" t="s">
        <v>786</v>
      </c>
      <c r="D206">
        <v>2</v>
      </c>
      <c r="E206" s="12" t="s">
        <v>18</v>
      </c>
      <c r="F206">
        <v>2023</v>
      </c>
      <c r="G206" t="s">
        <v>787</v>
      </c>
      <c r="H206" t="s">
        <v>788</v>
      </c>
      <c r="I206" t="s">
        <v>789</v>
      </c>
      <c r="J206" s="12" t="s">
        <v>149</v>
      </c>
    </row>
    <row r="207" spans="1:11">
      <c r="A207">
        <v>7</v>
      </c>
      <c r="B207">
        <v>176</v>
      </c>
      <c r="C207" t="s">
        <v>790</v>
      </c>
      <c r="D207">
        <v>2</v>
      </c>
      <c r="E207" s="12" t="s">
        <v>18</v>
      </c>
      <c r="F207">
        <v>2023</v>
      </c>
      <c r="G207" t="s">
        <v>791</v>
      </c>
      <c r="H207" t="s">
        <v>792</v>
      </c>
      <c r="I207" t="s">
        <v>793</v>
      </c>
      <c r="J207" s="12" t="s">
        <v>149</v>
      </c>
    </row>
    <row r="208" spans="1:11">
      <c r="A208">
        <v>8</v>
      </c>
      <c r="B208">
        <v>177</v>
      </c>
      <c r="C208" t="s">
        <v>794</v>
      </c>
      <c r="D208">
        <v>2</v>
      </c>
      <c r="E208" s="12" t="s">
        <v>18</v>
      </c>
      <c r="F208">
        <v>2023</v>
      </c>
      <c r="G208" t="s">
        <v>795</v>
      </c>
      <c r="H208" t="s">
        <v>796</v>
      </c>
      <c r="I208" t="s">
        <v>822</v>
      </c>
      <c r="J208" s="12" t="s">
        <v>149</v>
      </c>
    </row>
    <row r="209" spans="1:11">
      <c r="A209">
        <v>9</v>
      </c>
      <c r="B209">
        <v>178</v>
      </c>
      <c r="C209" t="s">
        <v>797</v>
      </c>
      <c r="D209">
        <v>2</v>
      </c>
      <c r="E209" s="12" t="s">
        <v>18</v>
      </c>
      <c r="F209">
        <v>2023</v>
      </c>
      <c r="G209" t="s">
        <v>798</v>
      </c>
      <c r="H209" t="s">
        <v>823</v>
      </c>
      <c r="I209" t="s">
        <v>799</v>
      </c>
      <c r="J209" s="12" t="s">
        <v>149</v>
      </c>
    </row>
    <row r="210" spans="1:11">
      <c r="A210">
        <v>10</v>
      </c>
      <c r="B210">
        <v>179</v>
      </c>
      <c r="C210" t="s">
        <v>800</v>
      </c>
      <c r="D210">
        <v>2</v>
      </c>
      <c r="E210" s="12" t="s">
        <v>18</v>
      </c>
      <c r="F210">
        <v>2023</v>
      </c>
      <c r="G210" t="s">
        <v>801</v>
      </c>
      <c r="H210" t="s">
        <v>802</v>
      </c>
      <c r="I210" t="s">
        <v>803</v>
      </c>
      <c r="J210" s="12" t="s">
        <v>149</v>
      </c>
    </row>
    <row r="211" spans="1:11">
      <c r="A211">
        <v>11</v>
      </c>
      <c r="B211">
        <v>180</v>
      </c>
      <c r="C211" t="s">
        <v>804</v>
      </c>
      <c r="D211">
        <v>2</v>
      </c>
      <c r="E211" s="12" t="s">
        <v>18</v>
      </c>
      <c r="F211">
        <v>2023</v>
      </c>
      <c r="G211" t="s">
        <v>801</v>
      </c>
      <c r="H211" t="s">
        <v>802</v>
      </c>
      <c r="I211" t="s">
        <v>824</v>
      </c>
      <c r="J211" s="12" t="s">
        <v>149</v>
      </c>
    </row>
    <row r="212" spans="1:11">
      <c r="A212">
        <v>12</v>
      </c>
      <c r="B212">
        <v>181</v>
      </c>
      <c r="C212" t="s">
        <v>805</v>
      </c>
      <c r="D212">
        <v>2</v>
      </c>
      <c r="E212" s="12" t="s">
        <v>18</v>
      </c>
      <c r="F212">
        <v>2023</v>
      </c>
      <c r="G212" t="s">
        <v>806</v>
      </c>
      <c r="H212" t="s">
        <v>829</v>
      </c>
      <c r="I212" t="s">
        <v>807</v>
      </c>
      <c r="J212" s="12" t="s">
        <v>149</v>
      </c>
    </row>
    <row r="213" spans="1:11">
      <c r="A213">
        <v>13</v>
      </c>
      <c r="B213">
        <v>182</v>
      </c>
      <c r="C213" t="s">
        <v>808</v>
      </c>
      <c r="D213">
        <v>2</v>
      </c>
      <c r="E213" s="12" t="s">
        <v>18</v>
      </c>
      <c r="F213">
        <v>2023</v>
      </c>
      <c r="G213" t="s">
        <v>809</v>
      </c>
      <c r="H213" t="s">
        <v>810</v>
      </c>
      <c r="I213" t="s">
        <v>825</v>
      </c>
      <c r="J213" s="12" t="s">
        <v>149</v>
      </c>
    </row>
    <row r="214" spans="1:11">
      <c r="A214">
        <v>14</v>
      </c>
      <c r="B214">
        <v>183</v>
      </c>
      <c r="C214" t="s">
        <v>830</v>
      </c>
      <c r="D214">
        <v>2</v>
      </c>
      <c r="E214" s="12" t="s">
        <v>18</v>
      </c>
      <c r="F214">
        <v>2023</v>
      </c>
      <c r="G214" t="s">
        <v>791</v>
      </c>
      <c r="H214" t="s">
        <v>792</v>
      </c>
      <c r="I214" t="s">
        <v>826</v>
      </c>
      <c r="J214" s="12" t="s">
        <v>149</v>
      </c>
    </row>
    <row r="215" spans="1:11">
      <c r="A215">
        <v>15</v>
      </c>
      <c r="B215">
        <v>184</v>
      </c>
      <c r="C215" t="s">
        <v>811</v>
      </c>
      <c r="D215">
        <v>2</v>
      </c>
      <c r="E215" s="12" t="s">
        <v>18</v>
      </c>
      <c r="F215">
        <v>2023</v>
      </c>
      <c r="G215" t="s">
        <v>812</v>
      </c>
      <c r="H215" t="s">
        <v>813</v>
      </c>
      <c r="I215" t="s">
        <v>837</v>
      </c>
      <c r="J215" s="12" t="s">
        <v>149</v>
      </c>
    </row>
    <row r="216" spans="1:11">
      <c r="A216">
        <v>16</v>
      </c>
      <c r="B216">
        <v>185</v>
      </c>
      <c r="C216" t="s">
        <v>814</v>
      </c>
      <c r="D216">
        <v>2</v>
      </c>
      <c r="E216" s="12" t="s">
        <v>18</v>
      </c>
      <c r="F216">
        <v>2023</v>
      </c>
      <c r="G216" t="s">
        <v>815</v>
      </c>
      <c r="H216" t="s">
        <v>816</v>
      </c>
      <c r="I216" t="s">
        <v>817</v>
      </c>
      <c r="J216" s="12" t="s">
        <v>149</v>
      </c>
    </row>
    <row r="217" spans="1:11">
      <c r="E217" s="12"/>
      <c r="J217" s="12"/>
    </row>
    <row r="218" spans="1:11" ht="18">
      <c r="C218" s="77" t="s">
        <v>1256</v>
      </c>
    </row>
    <row r="219" spans="1:11">
      <c r="B219">
        <v>186</v>
      </c>
      <c r="C219" t="s">
        <v>1122</v>
      </c>
      <c r="D219">
        <v>13</v>
      </c>
      <c r="E219" t="s">
        <v>19</v>
      </c>
      <c r="F219">
        <v>2023</v>
      </c>
      <c r="G219" t="s">
        <v>1123</v>
      </c>
      <c r="H219" t="s">
        <v>1124</v>
      </c>
      <c r="I219" t="s">
        <v>1125</v>
      </c>
      <c r="J219" s="12" t="s">
        <v>149</v>
      </c>
    </row>
    <row r="221" spans="1:11" ht="20.25">
      <c r="C221" s="21" t="s">
        <v>1319</v>
      </c>
    </row>
    <row r="223" spans="1:11">
      <c r="C223" s="10" t="s">
        <v>25</v>
      </c>
      <c r="D223" s="82" t="s">
        <v>10</v>
      </c>
      <c r="E223" s="82" t="s">
        <v>11</v>
      </c>
      <c r="F223" s="82" t="s">
        <v>12</v>
      </c>
      <c r="G223" s="2" t="s">
        <v>27</v>
      </c>
      <c r="H223" s="2" t="s">
        <v>26</v>
      </c>
      <c r="I223" s="2" t="s">
        <v>28</v>
      </c>
      <c r="J223" s="2" t="s">
        <v>9</v>
      </c>
      <c r="K223" s="64"/>
    </row>
    <row r="224" spans="1:11" ht="18">
      <c r="C224" s="77" t="s">
        <v>1256</v>
      </c>
      <c r="J224" s="12"/>
    </row>
    <row r="225" spans="1:11">
      <c r="B225">
        <v>187</v>
      </c>
      <c r="C225" t="s">
        <v>1320</v>
      </c>
      <c r="D225">
        <v>16</v>
      </c>
      <c r="E225" t="s">
        <v>16</v>
      </c>
      <c r="F225">
        <v>2024</v>
      </c>
      <c r="G225" t="s">
        <v>1309</v>
      </c>
      <c r="H225" t="s">
        <v>1310</v>
      </c>
      <c r="I225" t="s">
        <v>1321</v>
      </c>
      <c r="J225" s="12" t="s">
        <v>149</v>
      </c>
    </row>
    <row r="227" spans="1:11" ht="18">
      <c r="C227" s="77" t="s">
        <v>1923</v>
      </c>
      <c r="E227" s="12"/>
      <c r="J227" s="12"/>
    </row>
    <row r="228" spans="1:11">
      <c r="C228" s="10" t="s">
        <v>25</v>
      </c>
      <c r="D228" s="83" t="s">
        <v>10</v>
      </c>
      <c r="E228" s="83" t="s">
        <v>11</v>
      </c>
      <c r="F228" s="83" t="s">
        <v>12</v>
      </c>
      <c r="G228" s="2" t="s">
        <v>27</v>
      </c>
      <c r="H228" s="2" t="s">
        <v>26</v>
      </c>
      <c r="I228" s="2" t="s">
        <v>28</v>
      </c>
      <c r="J228" s="2" t="s">
        <v>9</v>
      </c>
      <c r="K228" s="64"/>
    </row>
    <row r="229" spans="1:11">
      <c r="A229">
        <v>1</v>
      </c>
      <c r="B229">
        <v>188</v>
      </c>
      <c r="C229" t="s">
        <v>1322</v>
      </c>
      <c r="D229">
        <v>18</v>
      </c>
      <c r="E229" t="s">
        <v>17</v>
      </c>
      <c r="F229">
        <v>2024</v>
      </c>
      <c r="G229" t="s">
        <v>1323</v>
      </c>
      <c r="H229" t="s">
        <v>1324</v>
      </c>
      <c r="I229" t="s">
        <v>1325</v>
      </c>
      <c r="J229" s="12" t="s">
        <v>149</v>
      </c>
    </row>
    <row r="230" spans="1:11">
      <c r="A230">
        <v>2</v>
      </c>
      <c r="B230">
        <v>189</v>
      </c>
      <c r="C230" t="s">
        <v>1326</v>
      </c>
      <c r="D230">
        <v>18</v>
      </c>
      <c r="E230" t="s">
        <v>17</v>
      </c>
      <c r="F230">
        <v>2024</v>
      </c>
      <c r="G230" t="s">
        <v>1327</v>
      </c>
      <c r="H230" t="s">
        <v>1328</v>
      </c>
      <c r="I230" t="s">
        <v>1632</v>
      </c>
      <c r="J230" s="12" t="s">
        <v>149</v>
      </c>
    </row>
    <row r="231" spans="1:11">
      <c r="A231">
        <v>3</v>
      </c>
      <c r="B231">
        <v>190</v>
      </c>
      <c r="C231" t="s">
        <v>1329</v>
      </c>
      <c r="D231">
        <v>18</v>
      </c>
      <c r="E231" t="s">
        <v>17</v>
      </c>
      <c r="F231">
        <v>2024</v>
      </c>
      <c r="G231" t="s">
        <v>1330</v>
      </c>
      <c r="H231" t="s">
        <v>1331</v>
      </c>
      <c r="I231" t="s">
        <v>1332</v>
      </c>
      <c r="J231" s="12" t="s">
        <v>149</v>
      </c>
    </row>
    <row r="232" spans="1:11">
      <c r="A232">
        <v>4</v>
      </c>
      <c r="B232">
        <v>191</v>
      </c>
      <c r="C232" t="s">
        <v>1333</v>
      </c>
      <c r="D232">
        <v>18</v>
      </c>
      <c r="E232" t="s">
        <v>17</v>
      </c>
      <c r="F232">
        <v>2024</v>
      </c>
      <c r="G232" t="s">
        <v>1334</v>
      </c>
      <c r="H232" t="s">
        <v>1412</v>
      </c>
      <c r="I232" t="s">
        <v>1335</v>
      </c>
      <c r="J232" s="12" t="s">
        <v>149</v>
      </c>
    </row>
    <row r="233" spans="1:11">
      <c r="A233">
        <v>5</v>
      </c>
      <c r="B233">
        <v>192</v>
      </c>
      <c r="C233" t="s">
        <v>1336</v>
      </c>
      <c r="D233">
        <v>18</v>
      </c>
      <c r="E233" t="s">
        <v>17</v>
      </c>
      <c r="F233">
        <v>2024</v>
      </c>
      <c r="G233" t="s">
        <v>1341</v>
      </c>
      <c r="H233" t="s">
        <v>1339</v>
      </c>
      <c r="I233" t="s">
        <v>1340</v>
      </c>
      <c r="J233" s="12" t="s">
        <v>149</v>
      </c>
    </row>
    <row r="234" spans="1:11">
      <c r="A234">
        <v>6</v>
      </c>
      <c r="B234">
        <v>193</v>
      </c>
      <c r="C234" t="s">
        <v>1337</v>
      </c>
      <c r="D234">
        <v>18</v>
      </c>
      <c r="E234" t="s">
        <v>17</v>
      </c>
      <c r="F234">
        <v>2024</v>
      </c>
      <c r="G234" t="s">
        <v>1342</v>
      </c>
      <c r="H234" t="s">
        <v>1343</v>
      </c>
      <c r="I234" t="s">
        <v>1415</v>
      </c>
      <c r="J234" s="12" t="s">
        <v>149</v>
      </c>
    </row>
    <row r="235" spans="1:11">
      <c r="A235">
        <v>7</v>
      </c>
      <c r="B235">
        <v>194</v>
      </c>
      <c r="C235" t="s">
        <v>1338</v>
      </c>
      <c r="D235">
        <v>18</v>
      </c>
      <c r="E235" t="s">
        <v>17</v>
      </c>
      <c r="F235">
        <v>2024</v>
      </c>
      <c r="G235" t="s">
        <v>1344</v>
      </c>
      <c r="H235" t="s">
        <v>1345</v>
      </c>
      <c r="I235" t="s">
        <v>1346</v>
      </c>
      <c r="J235" s="12" t="s">
        <v>149</v>
      </c>
    </row>
    <row r="236" spans="1:11">
      <c r="A236">
        <v>8</v>
      </c>
      <c r="B236">
        <v>195</v>
      </c>
      <c r="C236" t="s">
        <v>1347</v>
      </c>
      <c r="D236">
        <v>18</v>
      </c>
      <c r="E236" t="s">
        <v>17</v>
      </c>
      <c r="F236">
        <v>2024</v>
      </c>
      <c r="G236" t="s">
        <v>1348</v>
      </c>
      <c r="H236" t="s">
        <v>1349</v>
      </c>
      <c r="I236" t="s">
        <v>1350</v>
      </c>
      <c r="J236" s="12" t="s">
        <v>149</v>
      </c>
    </row>
    <row r="237" spans="1:11">
      <c r="A237">
        <v>9</v>
      </c>
      <c r="B237">
        <v>196</v>
      </c>
      <c r="C237" t="s">
        <v>1351</v>
      </c>
      <c r="D237">
        <v>18</v>
      </c>
      <c r="E237" t="s">
        <v>17</v>
      </c>
      <c r="F237">
        <v>2024</v>
      </c>
      <c r="G237" t="s">
        <v>1352</v>
      </c>
      <c r="H237" t="s">
        <v>1353</v>
      </c>
      <c r="I237" t="s">
        <v>1354</v>
      </c>
      <c r="J237" s="12" t="s">
        <v>149</v>
      </c>
    </row>
    <row r="238" spans="1:11">
      <c r="A238">
        <v>10</v>
      </c>
      <c r="B238">
        <v>197</v>
      </c>
      <c r="C238" t="s">
        <v>1355</v>
      </c>
      <c r="D238">
        <v>18</v>
      </c>
      <c r="E238" t="s">
        <v>17</v>
      </c>
      <c r="F238">
        <v>2024</v>
      </c>
      <c r="G238" t="s">
        <v>1356</v>
      </c>
      <c r="H238" t="s">
        <v>1357</v>
      </c>
      <c r="I238" t="s">
        <v>1358</v>
      </c>
      <c r="J238" s="12" t="s">
        <v>149</v>
      </c>
    </row>
    <row r="239" spans="1:11">
      <c r="A239">
        <v>11</v>
      </c>
      <c r="B239">
        <v>198</v>
      </c>
      <c r="C239" t="s">
        <v>1359</v>
      </c>
      <c r="D239">
        <v>18</v>
      </c>
      <c r="E239" t="s">
        <v>17</v>
      </c>
      <c r="F239">
        <v>2024</v>
      </c>
      <c r="G239" t="s">
        <v>1413</v>
      </c>
      <c r="H239" t="s">
        <v>1360</v>
      </c>
      <c r="I239" t="s">
        <v>1361</v>
      </c>
      <c r="J239" s="12" t="s">
        <v>149</v>
      </c>
    </row>
    <row r="240" spans="1:11">
      <c r="A240">
        <v>12</v>
      </c>
      <c r="B240">
        <v>199</v>
      </c>
      <c r="C240" t="s">
        <v>1362</v>
      </c>
      <c r="D240">
        <v>18</v>
      </c>
      <c r="E240" t="s">
        <v>17</v>
      </c>
      <c r="F240">
        <v>2024</v>
      </c>
      <c r="G240" t="s">
        <v>1363</v>
      </c>
      <c r="H240" t="s">
        <v>1364</v>
      </c>
      <c r="I240" t="s">
        <v>1365</v>
      </c>
      <c r="J240" s="12" t="s">
        <v>149</v>
      </c>
    </row>
    <row r="241" spans="1:10">
      <c r="A241">
        <v>13</v>
      </c>
      <c r="B241">
        <v>200</v>
      </c>
      <c r="C241" t="s">
        <v>1366</v>
      </c>
      <c r="D241">
        <v>18</v>
      </c>
      <c r="E241" t="s">
        <v>17</v>
      </c>
      <c r="F241">
        <v>2024</v>
      </c>
      <c r="G241" t="s">
        <v>1367</v>
      </c>
      <c r="H241" t="s">
        <v>1368</v>
      </c>
      <c r="I241" t="s">
        <v>1369</v>
      </c>
      <c r="J241" s="12" t="s">
        <v>149</v>
      </c>
    </row>
    <row r="242" spans="1:10">
      <c r="A242">
        <v>14</v>
      </c>
      <c r="B242">
        <v>201</v>
      </c>
      <c r="C242" t="s">
        <v>1370</v>
      </c>
      <c r="D242">
        <v>18</v>
      </c>
      <c r="E242" t="s">
        <v>17</v>
      </c>
      <c r="F242">
        <v>2024</v>
      </c>
      <c r="G242" t="s">
        <v>1187</v>
      </c>
      <c r="H242" t="s">
        <v>1181</v>
      </c>
      <c r="I242" t="s">
        <v>1328</v>
      </c>
      <c r="J242" s="12" t="s">
        <v>149</v>
      </c>
    </row>
    <row r="243" spans="1:10">
      <c r="A243">
        <v>15</v>
      </c>
      <c r="B243">
        <v>202</v>
      </c>
      <c r="C243" t="s">
        <v>1371</v>
      </c>
      <c r="D243">
        <v>18</v>
      </c>
      <c r="E243" t="s">
        <v>17</v>
      </c>
      <c r="F243">
        <v>2024</v>
      </c>
      <c r="G243" t="s">
        <v>1372</v>
      </c>
      <c r="H243" t="s">
        <v>1373</v>
      </c>
      <c r="I243" t="s">
        <v>1374</v>
      </c>
      <c r="J243" s="12" t="s">
        <v>149</v>
      </c>
    </row>
    <row r="244" spans="1:10">
      <c r="A244">
        <v>16</v>
      </c>
      <c r="B244">
        <v>203</v>
      </c>
      <c r="C244" t="s">
        <v>1375</v>
      </c>
      <c r="D244">
        <v>18</v>
      </c>
      <c r="E244" t="s">
        <v>17</v>
      </c>
      <c r="F244">
        <v>2024</v>
      </c>
      <c r="G244" t="s">
        <v>1376</v>
      </c>
      <c r="H244" t="s">
        <v>1377</v>
      </c>
      <c r="I244" t="s">
        <v>1378</v>
      </c>
      <c r="J244" s="12" t="s">
        <v>149</v>
      </c>
    </row>
    <row r="245" spans="1:10">
      <c r="A245">
        <v>17</v>
      </c>
      <c r="B245">
        <v>204</v>
      </c>
      <c r="C245" t="s">
        <v>1379</v>
      </c>
      <c r="D245">
        <v>18</v>
      </c>
      <c r="E245" t="s">
        <v>17</v>
      </c>
      <c r="F245">
        <v>2024</v>
      </c>
      <c r="G245" t="s">
        <v>1380</v>
      </c>
      <c r="H245" t="s">
        <v>1381</v>
      </c>
      <c r="I245" t="s">
        <v>1382</v>
      </c>
      <c r="J245" s="12" t="s">
        <v>149</v>
      </c>
    </row>
    <row r="246" spans="1:10">
      <c r="A246">
        <v>18</v>
      </c>
      <c r="B246">
        <v>205</v>
      </c>
      <c r="C246" t="s">
        <v>1383</v>
      </c>
      <c r="D246">
        <v>18</v>
      </c>
      <c r="E246" t="s">
        <v>17</v>
      </c>
      <c r="F246">
        <v>2024</v>
      </c>
      <c r="G246" t="s">
        <v>1384</v>
      </c>
      <c r="H246" t="s">
        <v>1385</v>
      </c>
      <c r="I246" t="s">
        <v>1386</v>
      </c>
      <c r="J246" s="12" t="s">
        <v>149</v>
      </c>
    </row>
    <row r="247" spans="1:10">
      <c r="A247">
        <v>19</v>
      </c>
      <c r="B247">
        <v>206</v>
      </c>
      <c r="C247" t="s">
        <v>1387</v>
      </c>
      <c r="D247">
        <v>18</v>
      </c>
      <c r="E247" t="s">
        <v>17</v>
      </c>
      <c r="F247">
        <v>2024</v>
      </c>
      <c r="G247" t="s">
        <v>1388</v>
      </c>
      <c r="H247" t="s">
        <v>1389</v>
      </c>
      <c r="I247" t="s">
        <v>1390</v>
      </c>
      <c r="J247" s="12" t="s">
        <v>149</v>
      </c>
    </row>
    <row r="248" spans="1:10">
      <c r="A248">
        <v>20</v>
      </c>
      <c r="B248">
        <v>207</v>
      </c>
      <c r="C248" t="s">
        <v>1391</v>
      </c>
      <c r="D248">
        <v>18</v>
      </c>
      <c r="E248" t="s">
        <v>17</v>
      </c>
      <c r="F248">
        <v>2024</v>
      </c>
      <c r="G248" t="s">
        <v>929</v>
      </c>
      <c r="H248" t="s">
        <v>930</v>
      </c>
      <c r="I248" t="s">
        <v>1414</v>
      </c>
      <c r="J248" s="12" t="s">
        <v>149</v>
      </c>
    </row>
    <row r="249" spans="1:10">
      <c r="A249">
        <v>21</v>
      </c>
      <c r="B249">
        <v>208</v>
      </c>
      <c r="C249" t="s">
        <v>1392</v>
      </c>
      <c r="D249">
        <v>18</v>
      </c>
      <c r="E249" t="s">
        <v>17</v>
      </c>
      <c r="F249">
        <v>2024</v>
      </c>
      <c r="G249" t="s">
        <v>1393</v>
      </c>
      <c r="H249" t="s">
        <v>1394</v>
      </c>
      <c r="I249" t="s">
        <v>1395</v>
      </c>
      <c r="J249" s="12" t="s">
        <v>149</v>
      </c>
    </row>
    <row r="250" spans="1:10">
      <c r="A250">
        <v>22</v>
      </c>
      <c r="B250">
        <v>209</v>
      </c>
      <c r="C250" t="s">
        <v>1396</v>
      </c>
      <c r="D250">
        <v>18</v>
      </c>
      <c r="E250" t="s">
        <v>17</v>
      </c>
      <c r="F250">
        <v>2024</v>
      </c>
      <c r="G250" t="s">
        <v>1397</v>
      </c>
      <c r="H250" t="s">
        <v>1398</v>
      </c>
      <c r="I250" t="s">
        <v>1399</v>
      </c>
      <c r="J250" s="12" t="s">
        <v>149</v>
      </c>
    </row>
    <row r="251" spans="1:10">
      <c r="A251">
        <v>23</v>
      </c>
      <c r="B251">
        <v>210</v>
      </c>
      <c r="C251" t="s">
        <v>1400</v>
      </c>
      <c r="D251">
        <v>18</v>
      </c>
      <c r="E251" t="s">
        <v>17</v>
      </c>
      <c r="F251">
        <v>2024</v>
      </c>
      <c r="G251" t="s">
        <v>1401</v>
      </c>
      <c r="H251" t="s">
        <v>1402</v>
      </c>
      <c r="I251" t="s">
        <v>1403</v>
      </c>
      <c r="J251" s="12" t="s">
        <v>149</v>
      </c>
    </row>
    <row r="252" spans="1:10">
      <c r="A252">
        <v>24</v>
      </c>
      <c r="B252">
        <v>211</v>
      </c>
      <c r="C252" t="s">
        <v>1404</v>
      </c>
      <c r="D252">
        <v>18</v>
      </c>
      <c r="E252" t="s">
        <v>17</v>
      </c>
      <c r="F252">
        <v>2024</v>
      </c>
      <c r="G252" t="s">
        <v>1405</v>
      </c>
      <c r="H252" t="s">
        <v>1406</v>
      </c>
      <c r="I252" t="s">
        <v>1407</v>
      </c>
      <c r="J252" s="12" t="s">
        <v>149</v>
      </c>
    </row>
    <row r="253" spans="1:10">
      <c r="A253">
        <v>25</v>
      </c>
      <c r="B253">
        <v>212</v>
      </c>
      <c r="C253" t="s">
        <v>1408</v>
      </c>
      <c r="D253">
        <v>18</v>
      </c>
      <c r="E253" t="s">
        <v>17</v>
      </c>
      <c r="F253">
        <v>2024</v>
      </c>
      <c r="G253" t="s">
        <v>1409</v>
      </c>
      <c r="H253" t="s">
        <v>1410</v>
      </c>
      <c r="I253" t="s">
        <v>1411</v>
      </c>
      <c r="J253" s="12" t="s">
        <v>149</v>
      </c>
    </row>
    <row r="256" spans="1:10" ht="18">
      <c r="C256" s="77" t="s">
        <v>1924</v>
      </c>
      <c r="E256" s="12"/>
      <c r="J256" s="12"/>
    </row>
    <row r="257" spans="1:11">
      <c r="C257" s="10" t="s">
        <v>25</v>
      </c>
      <c r="D257" s="84" t="s">
        <v>10</v>
      </c>
      <c r="E257" s="84" t="s">
        <v>11</v>
      </c>
      <c r="F257" s="84" t="s">
        <v>12</v>
      </c>
      <c r="G257" s="2" t="s">
        <v>27</v>
      </c>
      <c r="H257" s="2" t="s">
        <v>26</v>
      </c>
      <c r="I257" s="2" t="s">
        <v>28</v>
      </c>
      <c r="J257" s="2" t="s">
        <v>9</v>
      </c>
      <c r="K257" s="64"/>
    </row>
    <row r="258" spans="1:11">
      <c r="A258">
        <v>1</v>
      </c>
      <c r="B258">
        <v>213</v>
      </c>
      <c r="C258" s="88" t="s">
        <v>1416</v>
      </c>
      <c r="D258">
        <v>1</v>
      </c>
      <c r="E258" t="s">
        <v>18</v>
      </c>
      <c r="F258">
        <v>2024</v>
      </c>
      <c r="G258" s="88" t="s">
        <v>1430</v>
      </c>
      <c r="H258" s="88" t="s">
        <v>1431</v>
      </c>
      <c r="I258" s="88" t="s">
        <v>1439</v>
      </c>
      <c r="J258" s="12" t="s">
        <v>149</v>
      </c>
    </row>
    <row r="259" spans="1:11">
      <c r="A259">
        <v>2</v>
      </c>
      <c r="B259">
        <v>214</v>
      </c>
      <c r="C259" s="88" t="s">
        <v>1417</v>
      </c>
      <c r="D259">
        <v>1</v>
      </c>
      <c r="E259" t="s">
        <v>584</v>
      </c>
      <c r="F259">
        <v>2024</v>
      </c>
      <c r="G259" s="88" t="s">
        <v>1432</v>
      </c>
      <c r="H259" s="88" t="s">
        <v>1433</v>
      </c>
      <c r="I259" s="88" t="s">
        <v>1460</v>
      </c>
      <c r="J259" s="12" t="s">
        <v>149</v>
      </c>
    </row>
    <row r="260" spans="1:11">
      <c r="A260">
        <v>3</v>
      </c>
      <c r="B260">
        <v>215</v>
      </c>
      <c r="C260" s="88" t="s">
        <v>1418</v>
      </c>
      <c r="D260">
        <v>1</v>
      </c>
      <c r="E260" t="s">
        <v>18</v>
      </c>
      <c r="F260">
        <v>2024</v>
      </c>
      <c r="G260" s="88" t="s">
        <v>1434</v>
      </c>
      <c r="H260" s="88" t="s">
        <v>1435</v>
      </c>
      <c r="I260" s="88" t="s">
        <v>1461</v>
      </c>
      <c r="J260" s="12" t="s">
        <v>149</v>
      </c>
    </row>
    <row r="261" spans="1:11">
      <c r="A261">
        <v>4</v>
      </c>
      <c r="B261">
        <v>216</v>
      </c>
      <c r="C261" s="88" t="s">
        <v>1419</v>
      </c>
      <c r="D261">
        <v>1</v>
      </c>
      <c r="E261" t="s">
        <v>18</v>
      </c>
      <c r="F261">
        <v>2024</v>
      </c>
      <c r="G261" s="88" t="s">
        <v>1436</v>
      </c>
      <c r="H261" s="88" t="s">
        <v>1437</v>
      </c>
      <c r="I261" s="88" t="s">
        <v>1462</v>
      </c>
      <c r="J261" s="12" t="s">
        <v>149</v>
      </c>
    </row>
    <row r="262" spans="1:11">
      <c r="A262">
        <v>5</v>
      </c>
      <c r="B262">
        <v>217</v>
      </c>
      <c r="C262" s="88" t="s">
        <v>1475</v>
      </c>
      <c r="D262">
        <v>1</v>
      </c>
      <c r="E262" t="s">
        <v>18</v>
      </c>
      <c r="F262">
        <v>2024</v>
      </c>
      <c r="G262" s="88" t="s">
        <v>1438</v>
      </c>
      <c r="H262" s="88" t="s">
        <v>1439</v>
      </c>
      <c r="I262" s="88" t="s">
        <v>1463</v>
      </c>
      <c r="J262" s="12" t="s">
        <v>149</v>
      </c>
    </row>
    <row r="263" spans="1:11">
      <c r="A263">
        <v>6</v>
      </c>
      <c r="B263">
        <v>218</v>
      </c>
      <c r="C263" s="88" t="s">
        <v>1420</v>
      </c>
      <c r="D263">
        <v>1</v>
      </c>
      <c r="E263" t="s">
        <v>18</v>
      </c>
      <c r="F263">
        <v>2024</v>
      </c>
      <c r="G263" s="88" t="s">
        <v>1440</v>
      </c>
      <c r="H263" s="88" t="s">
        <v>1441</v>
      </c>
      <c r="I263" s="88" t="s">
        <v>1464</v>
      </c>
      <c r="J263" s="12" t="s">
        <v>149</v>
      </c>
    </row>
    <row r="264" spans="1:11">
      <c r="A264">
        <v>7</v>
      </c>
      <c r="B264">
        <v>219</v>
      </c>
      <c r="C264" s="88" t="s">
        <v>1421</v>
      </c>
      <c r="D264">
        <v>1</v>
      </c>
      <c r="E264" t="s">
        <v>18</v>
      </c>
      <c r="F264">
        <v>2024</v>
      </c>
      <c r="G264" s="88" t="s">
        <v>1442</v>
      </c>
      <c r="H264" s="88" t="s">
        <v>1443</v>
      </c>
      <c r="I264" s="88" t="s">
        <v>1465</v>
      </c>
      <c r="J264" s="12" t="s">
        <v>149</v>
      </c>
    </row>
    <row r="265" spans="1:11">
      <c r="A265">
        <v>8</v>
      </c>
      <c r="B265">
        <v>220</v>
      </c>
      <c r="C265" s="88" t="s">
        <v>1422</v>
      </c>
      <c r="D265">
        <v>1</v>
      </c>
      <c r="E265" t="s">
        <v>18</v>
      </c>
      <c r="F265">
        <v>2024</v>
      </c>
      <c r="G265" s="88" t="s">
        <v>1444</v>
      </c>
      <c r="H265" s="88" t="s">
        <v>1445</v>
      </c>
      <c r="I265" s="88" t="s">
        <v>1466</v>
      </c>
      <c r="J265" s="12" t="s">
        <v>149</v>
      </c>
    </row>
    <row r="266" spans="1:11">
      <c r="A266">
        <v>9</v>
      </c>
      <c r="B266">
        <v>221</v>
      </c>
      <c r="C266" s="88" t="s">
        <v>1423</v>
      </c>
      <c r="D266">
        <v>1</v>
      </c>
      <c r="E266" t="s">
        <v>18</v>
      </c>
      <c r="F266">
        <v>2024</v>
      </c>
      <c r="G266" s="88" t="s">
        <v>1446</v>
      </c>
      <c r="H266" s="88" t="s">
        <v>1447</v>
      </c>
      <c r="I266" s="89" t="s">
        <v>1467</v>
      </c>
      <c r="J266" s="12" t="s">
        <v>149</v>
      </c>
    </row>
    <row r="267" spans="1:11">
      <c r="A267">
        <v>10</v>
      </c>
      <c r="B267">
        <v>222</v>
      </c>
      <c r="C267" s="88" t="s">
        <v>1424</v>
      </c>
      <c r="D267">
        <v>1</v>
      </c>
      <c r="E267" t="s">
        <v>18</v>
      </c>
      <c r="F267">
        <v>2024</v>
      </c>
      <c r="G267" s="88" t="s">
        <v>1448</v>
      </c>
      <c r="H267" s="88" t="s">
        <v>1449</v>
      </c>
      <c r="I267" s="88" t="s">
        <v>1468</v>
      </c>
      <c r="J267" s="12" t="s">
        <v>149</v>
      </c>
    </row>
    <row r="268" spans="1:11">
      <c r="A268">
        <v>11</v>
      </c>
      <c r="B268">
        <v>223</v>
      </c>
      <c r="C268" s="88" t="s">
        <v>1425</v>
      </c>
      <c r="D268">
        <v>1</v>
      </c>
      <c r="E268" t="s">
        <v>18</v>
      </c>
      <c r="F268">
        <v>2024</v>
      </c>
      <c r="G268" s="88" t="s">
        <v>1450</v>
      </c>
      <c r="H268" s="88" t="s">
        <v>1451</v>
      </c>
      <c r="I268" s="88" t="s">
        <v>1469</v>
      </c>
      <c r="J268" s="12" t="s">
        <v>149</v>
      </c>
    </row>
    <row r="269" spans="1:11">
      <c r="A269">
        <v>12</v>
      </c>
      <c r="B269">
        <v>224</v>
      </c>
      <c r="C269" s="88" t="s">
        <v>1426</v>
      </c>
      <c r="D269">
        <v>1</v>
      </c>
      <c r="E269" t="s">
        <v>18</v>
      </c>
      <c r="F269">
        <v>2024</v>
      </c>
      <c r="G269" s="88" t="s">
        <v>1452</v>
      </c>
      <c r="H269" s="88" t="s">
        <v>1453</v>
      </c>
      <c r="I269" s="88" t="s">
        <v>1470</v>
      </c>
      <c r="J269" s="12" t="s">
        <v>149</v>
      </c>
    </row>
    <row r="270" spans="1:11">
      <c r="A270">
        <v>13</v>
      </c>
      <c r="B270">
        <v>225</v>
      </c>
      <c r="C270" s="88" t="s">
        <v>1427</v>
      </c>
      <c r="D270">
        <v>1</v>
      </c>
      <c r="E270" t="s">
        <v>18</v>
      </c>
      <c r="F270">
        <v>2024</v>
      </c>
      <c r="G270" s="88" t="s">
        <v>1454</v>
      </c>
      <c r="H270" s="88" t="s">
        <v>1455</v>
      </c>
      <c r="I270" s="88" t="s">
        <v>1471</v>
      </c>
      <c r="J270" s="12" t="s">
        <v>149</v>
      </c>
    </row>
    <row r="271" spans="1:11">
      <c r="A271">
        <v>14</v>
      </c>
      <c r="B271">
        <v>226</v>
      </c>
      <c r="C271" s="88" t="s">
        <v>1428</v>
      </c>
      <c r="D271">
        <v>1</v>
      </c>
      <c r="E271" t="s">
        <v>18</v>
      </c>
      <c r="F271">
        <v>2024</v>
      </c>
      <c r="G271" s="88" t="s">
        <v>1456</v>
      </c>
      <c r="H271" s="88" t="s">
        <v>1457</v>
      </c>
      <c r="I271" s="88" t="s">
        <v>1472</v>
      </c>
      <c r="J271" s="12" t="s">
        <v>149</v>
      </c>
    </row>
    <row r="272" spans="1:11">
      <c r="A272">
        <v>15</v>
      </c>
      <c r="B272">
        <v>227</v>
      </c>
      <c r="C272" s="88" t="s">
        <v>1429</v>
      </c>
      <c r="D272">
        <v>1</v>
      </c>
      <c r="E272" t="s">
        <v>18</v>
      </c>
      <c r="F272">
        <v>2024</v>
      </c>
      <c r="G272" s="88" t="s">
        <v>1458</v>
      </c>
      <c r="H272" s="88" t="s">
        <v>1459</v>
      </c>
      <c r="I272" s="88" t="s">
        <v>1473</v>
      </c>
      <c r="J272" s="12" t="s">
        <v>149</v>
      </c>
    </row>
    <row r="273" spans="1:11">
      <c r="A273">
        <v>16</v>
      </c>
      <c r="B273">
        <v>228</v>
      </c>
      <c r="C273" s="88" t="s">
        <v>2352</v>
      </c>
      <c r="D273">
        <v>1</v>
      </c>
      <c r="E273" t="s">
        <v>18</v>
      </c>
      <c r="F273">
        <v>2024</v>
      </c>
      <c r="G273" s="88"/>
      <c r="H273" s="88" t="s">
        <v>2353</v>
      </c>
      <c r="I273" s="88" t="s">
        <v>1474</v>
      </c>
      <c r="J273" s="12" t="s">
        <v>149</v>
      </c>
    </row>
    <row r="274" spans="1:11">
      <c r="A274">
        <v>17</v>
      </c>
      <c r="B274">
        <v>229</v>
      </c>
      <c r="C274" t="s">
        <v>1938</v>
      </c>
      <c r="D274">
        <v>1</v>
      </c>
      <c r="E274" s="12" t="s">
        <v>18</v>
      </c>
      <c r="F274">
        <v>2024</v>
      </c>
      <c r="G274" t="s">
        <v>1935</v>
      </c>
      <c r="H274" t="s">
        <v>1936</v>
      </c>
      <c r="I274" t="s">
        <v>1937</v>
      </c>
      <c r="J274" s="12" t="s">
        <v>1062</v>
      </c>
    </row>
    <row r="275" spans="1:11">
      <c r="C275" s="88"/>
    </row>
    <row r="276" spans="1:11" ht="18">
      <c r="C276" s="77" t="s">
        <v>1925</v>
      </c>
      <c r="E276" s="12"/>
      <c r="J276" s="12"/>
    </row>
    <row r="277" spans="1:11">
      <c r="C277" s="10" t="s">
        <v>25</v>
      </c>
      <c r="D277" s="87" t="s">
        <v>10</v>
      </c>
      <c r="E277" s="87" t="s">
        <v>11</v>
      </c>
      <c r="F277" s="87" t="s">
        <v>12</v>
      </c>
      <c r="G277" s="2" t="s">
        <v>27</v>
      </c>
      <c r="H277" s="2" t="s">
        <v>26</v>
      </c>
      <c r="I277" s="2" t="s">
        <v>28</v>
      </c>
      <c r="J277" s="2" t="s">
        <v>9</v>
      </c>
      <c r="K277" s="64"/>
    </row>
    <row r="278" spans="1:11">
      <c r="A278">
        <v>1</v>
      </c>
      <c r="B278">
        <v>230</v>
      </c>
      <c r="C278" s="89" t="s">
        <v>1505</v>
      </c>
      <c r="D278">
        <v>11</v>
      </c>
      <c r="E278" t="s">
        <v>17</v>
      </c>
      <c r="F278">
        <v>2024</v>
      </c>
      <c r="H278" t="s">
        <v>1506</v>
      </c>
      <c r="I278" t="s">
        <v>1507</v>
      </c>
      <c r="J278" s="12" t="s">
        <v>149</v>
      </c>
    </row>
    <row r="279" spans="1:11">
      <c r="A279">
        <v>2</v>
      </c>
      <c r="B279">
        <v>231</v>
      </c>
      <c r="C279" s="89" t="s">
        <v>1486</v>
      </c>
      <c r="D279">
        <v>11</v>
      </c>
      <c r="E279" t="s">
        <v>17</v>
      </c>
      <c r="F279">
        <v>2024</v>
      </c>
      <c r="H279" t="s">
        <v>1487</v>
      </c>
      <c r="I279" t="s">
        <v>1488</v>
      </c>
      <c r="J279" s="12" t="s">
        <v>149</v>
      </c>
    </row>
    <row r="280" spans="1:11">
      <c r="A280">
        <v>3</v>
      </c>
      <c r="B280">
        <v>232</v>
      </c>
      <c r="C280" s="89" t="s">
        <v>1541</v>
      </c>
      <c r="D280">
        <v>11</v>
      </c>
      <c r="E280" t="s">
        <v>234</v>
      </c>
      <c r="F280">
        <v>2024</v>
      </c>
      <c r="G280" t="s">
        <v>1542</v>
      </c>
      <c r="H280" t="s">
        <v>1543</v>
      </c>
      <c r="I280" t="s">
        <v>1544</v>
      </c>
      <c r="J280" s="12" t="s">
        <v>149</v>
      </c>
    </row>
    <row r="281" spans="1:11">
      <c r="A281">
        <v>4</v>
      </c>
      <c r="B281">
        <v>233</v>
      </c>
      <c r="C281" s="89" t="s">
        <v>1531</v>
      </c>
      <c r="D281">
        <v>11</v>
      </c>
      <c r="E281" t="s">
        <v>17</v>
      </c>
      <c r="F281">
        <v>2024</v>
      </c>
      <c r="H281" t="s">
        <v>1532</v>
      </c>
      <c r="I281" t="s">
        <v>1533</v>
      </c>
      <c r="J281" s="12" t="s">
        <v>149</v>
      </c>
    </row>
    <row r="282" spans="1:11">
      <c r="A282">
        <v>5</v>
      </c>
      <c r="B282">
        <v>234</v>
      </c>
      <c r="C282" t="s">
        <v>1512</v>
      </c>
      <c r="D282">
        <v>11</v>
      </c>
      <c r="E282" t="s">
        <v>17</v>
      </c>
      <c r="F282">
        <v>2024</v>
      </c>
      <c r="G282" t="s">
        <v>1513</v>
      </c>
      <c r="H282" t="s">
        <v>1514</v>
      </c>
      <c r="I282" t="s">
        <v>1515</v>
      </c>
      <c r="J282" s="12" t="s">
        <v>149</v>
      </c>
    </row>
    <row r="283" spans="1:11">
      <c r="A283">
        <v>6</v>
      </c>
      <c r="B283">
        <v>235</v>
      </c>
      <c r="C283" t="s">
        <v>1534</v>
      </c>
      <c r="D283">
        <v>11</v>
      </c>
      <c r="E283" t="s">
        <v>17</v>
      </c>
      <c r="F283">
        <v>2024</v>
      </c>
      <c r="G283" t="s">
        <v>1535</v>
      </c>
      <c r="H283" t="s">
        <v>1536</v>
      </c>
      <c r="I283" t="s">
        <v>1537</v>
      </c>
      <c r="J283" s="12" t="s">
        <v>149</v>
      </c>
    </row>
    <row r="284" spans="1:11">
      <c r="A284">
        <v>7</v>
      </c>
      <c r="B284">
        <v>236</v>
      </c>
      <c r="C284" t="s">
        <v>1501</v>
      </c>
      <c r="D284">
        <v>11</v>
      </c>
      <c r="E284" t="s">
        <v>17</v>
      </c>
      <c r="F284">
        <v>2024</v>
      </c>
      <c r="G284" t="s">
        <v>1502</v>
      </c>
      <c r="H284" t="s">
        <v>1503</v>
      </c>
      <c r="I284" t="s">
        <v>1504</v>
      </c>
      <c r="J284" s="12" t="s">
        <v>149</v>
      </c>
    </row>
    <row r="285" spans="1:11">
      <c r="A285">
        <v>8</v>
      </c>
      <c r="B285">
        <v>237</v>
      </c>
      <c r="C285" t="s">
        <v>1493</v>
      </c>
      <c r="D285">
        <v>11</v>
      </c>
      <c r="E285" t="s">
        <v>17</v>
      </c>
      <c r="F285">
        <v>2024</v>
      </c>
      <c r="G285" t="s">
        <v>1494</v>
      </c>
      <c r="H285" t="s">
        <v>1495</v>
      </c>
      <c r="I285" t="s">
        <v>1496</v>
      </c>
      <c r="J285" s="12" t="s">
        <v>149</v>
      </c>
    </row>
    <row r="286" spans="1:11">
      <c r="A286">
        <v>9</v>
      </c>
      <c r="B286">
        <v>238</v>
      </c>
      <c r="C286" t="s">
        <v>1516</v>
      </c>
      <c r="D286">
        <v>11</v>
      </c>
      <c r="E286" t="s">
        <v>17</v>
      </c>
      <c r="F286">
        <v>2024</v>
      </c>
      <c r="G286" t="s">
        <v>1517</v>
      </c>
      <c r="H286" t="s">
        <v>1518</v>
      </c>
      <c r="I286" t="s">
        <v>1519</v>
      </c>
      <c r="J286" s="12" t="s">
        <v>149</v>
      </c>
    </row>
    <row r="287" spans="1:11">
      <c r="A287">
        <v>10</v>
      </c>
      <c r="B287">
        <v>239</v>
      </c>
      <c r="C287" t="s">
        <v>1489</v>
      </c>
      <c r="D287">
        <v>11</v>
      </c>
      <c r="E287" t="s">
        <v>17</v>
      </c>
      <c r="F287">
        <v>2024</v>
      </c>
      <c r="G287" t="s">
        <v>1490</v>
      </c>
      <c r="H287" t="s">
        <v>1491</v>
      </c>
      <c r="I287" t="s">
        <v>1492</v>
      </c>
      <c r="J287" s="12" t="s">
        <v>149</v>
      </c>
    </row>
    <row r="288" spans="1:11">
      <c r="A288">
        <v>11</v>
      </c>
      <c r="B288">
        <v>240</v>
      </c>
      <c r="C288" s="89" t="s">
        <v>1480</v>
      </c>
      <c r="D288">
        <v>11</v>
      </c>
      <c r="E288" t="s">
        <v>17</v>
      </c>
      <c r="F288">
        <v>2024</v>
      </c>
      <c r="G288" t="s">
        <v>1481</v>
      </c>
      <c r="H288" t="s">
        <v>1482</v>
      </c>
      <c r="I288" t="s">
        <v>1321</v>
      </c>
      <c r="J288" s="12" t="s">
        <v>149</v>
      </c>
    </row>
    <row r="289" spans="1:11">
      <c r="A289">
        <v>12</v>
      </c>
      <c r="B289">
        <v>241</v>
      </c>
      <c r="C289" t="s">
        <v>1483</v>
      </c>
      <c r="D289">
        <v>11</v>
      </c>
      <c r="E289" t="s">
        <v>17</v>
      </c>
      <c r="F289">
        <v>2024</v>
      </c>
      <c r="G289" t="s">
        <v>1484</v>
      </c>
      <c r="H289" t="s">
        <v>1485</v>
      </c>
      <c r="I289" t="s">
        <v>1942</v>
      </c>
      <c r="J289" s="12" t="s">
        <v>149</v>
      </c>
    </row>
    <row r="290" spans="1:11">
      <c r="A290">
        <v>13</v>
      </c>
      <c r="B290">
        <v>242</v>
      </c>
      <c r="C290" t="s">
        <v>1524</v>
      </c>
      <c r="D290">
        <v>11</v>
      </c>
      <c r="E290" t="s">
        <v>17</v>
      </c>
      <c r="F290">
        <v>2024</v>
      </c>
      <c r="G290" t="s">
        <v>1525</v>
      </c>
      <c r="H290" t="s">
        <v>1526</v>
      </c>
      <c r="I290" t="s">
        <v>1527</v>
      </c>
      <c r="J290" s="12" t="s">
        <v>149</v>
      </c>
    </row>
    <row r="291" spans="1:11">
      <c r="A291">
        <v>14</v>
      </c>
      <c r="B291">
        <v>243</v>
      </c>
      <c r="C291" t="s">
        <v>1538</v>
      </c>
      <c r="D291">
        <v>11</v>
      </c>
      <c r="E291" t="s">
        <v>17</v>
      </c>
      <c r="F291">
        <v>2024</v>
      </c>
      <c r="G291" t="s">
        <v>1539</v>
      </c>
      <c r="H291" t="s">
        <v>1540</v>
      </c>
      <c r="I291" t="s">
        <v>328</v>
      </c>
      <c r="J291" s="12" t="s">
        <v>149</v>
      </c>
    </row>
    <row r="292" spans="1:11">
      <c r="A292">
        <v>15</v>
      </c>
      <c r="B292">
        <v>244</v>
      </c>
      <c r="C292" t="s">
        <v>1497</v>
      </c>
      <c r="D292">
        <v>11</v>
      </c>
      <c r="E292" t="s">
        <v>17</v>
      </c>
      <c r="F292">
        <v>2024</v>
      </c>
      <c r="G292" t="s">
        <v>1498</v>
      </c>
      <c r="H292" t="s">
        <v>1499</v>
      </c>
      <c r="I292" t="s">
        <v>1500</v>
      </c>
      <c r="J292" s="12" t="s">
        <v>149</v>
      </c>
    </row>
    <row r="293" spans="1:11">
      <c r="A293">
        <v>16</v>
      </c>
      <c r="B293">
        <v>245</v>
      </c>
      <c r="C293" t="s">
        <v>1508</v>
      </c>
      <c r="D293">
        <v>11</v>
      </c>
      <c r="E293" t="s">
        <v>17</v>
      </c>
      <c r="F293">
        <v>2024</v>
      </c>
      <c r="G293" t="s">
        <v>1509</v>
      </c>
      <c r="H293" t="s">
        <v>1510</v>
      </c>
      <c r="I293" t="s">
        <v>1511</v>
      </c>
      <c r="J293" s="12" t="s">
        <v>149</v>
      </c>
    </row>
    <row r="294" spans="1:11">
      <c r="A294">
        <v>17</v>
      </c>
      <c r="B294">
        <v>246</v>
      </c>
      <c r="C294" t="s">
        <v>1520</v>
      </c>
      <c r="D294">
        <v>11</v>
      </c>
      <c r="E294" t="s">
        <v>17</v>
      </c>
      <c r="F294">
        <v>2024</v>
      </c>
      <c r="G294" t="s">
        <v>1521</v>
      </c>
      <c r="H294" t="s">
        <v>1522</v>
      </c>
      <c r="I294" t="s">
        <v>1523</v>
      </c>
      <c r="J294" s="12" t="s">
        <v>149</v>
      </c>
    </row>
    <row r="295" spans="1:11">
      <c r="A295">
        <v>18</v>
      </c>
      <c r="B295">
        <v>247</v>
      </c>
      <c r="C295" t="s">
        <v>1545</v>
      </c>
      <c r="D295">
        <v>11</v>
      </c>
      <c r="E295" t="s">
        <v>17</v>
      </c>
      <c r="F295">
        <v>2024</v>
      </c>
      <c r="G295" t="s">
        <v>1528</v>
      </c>
      <c r="H295" t="s">
        <v>1529</v>
      </c>
      <c r="I295" t="s">
        <v>1530</v>
      </c>
      <c r="J295" s="12" t="s">
        <v>149</v>
      </c>
    </row>
    <row r="296" spans="1:11">
      <c r="A296">
        <v>19</v>
      </c>
      <c r="B296">
        <v>248</v>
      </c>
      <c r="C296" t="s">
        <v>1546</v>
      </c>
      <c r="D296">
        <v>11</v>
      </c>
      <c r="E296" t="s">
        <v>17</v>
      </c>
      <c r="F296">
        <v>2024</v>
      </c>
      <c r="G296" t="s">
        <v>1548</v>
      </c>
      <c r="H296" t="s">
        <v>1549</v>
      </c>
      <c r="I296" t="s">
        <v>1547</v>
      </c>
      <c r="J296" s="12" t="s">
        <v>149</v>
      </c>
    </row>
    <row r="297" spans="1:11">
      <c r="A297">
        <v>20</v>
      </c>
      <c r="B297">
        <v>249</v>
      </c>
      <c r="C297" t="s">
        <v>1550</v>
      </c>
      <c r="D297">
        <v>11</v>
      </c>
      <c r="E297" t="s">
        <v>17</v>
      </c>
      <c r="F297">
        <v>2024</v>
      </c>
      <c r="G297" t="s">
        <v>1551</v>
      </c>
      <c r="H297" t="s">
        <v>1552</v>
      </c>
      <c r="I297" t="s">
        <v>314</v>
      </c>
      <c r="J297" s="12" t="s">
        <v>149</v>
      </c>
    </row>
    <row r="299" spans="1:11" ht="18">
      <c r="C299" s="77" t="s">
        <v>1926</v>
      </c>
      <c r="E299" s="12"/>
      <c r="J299" s="12"/>
    </row>
    <row r="300" spans="1:11">
      <c r="C300" s="10" t="s">
        <v>25</v>
      </c>
      <c r="D300" s="90" t="s">
        <v>10</v>
      </c>
      <c r="E300" s="90" t="s">
        <v>11</v>
      </c>
      <c r="F300" s="90" t="s">
        <v>12</v>
      </c>
      <c r="G300" s="2" t="s">
        <v>27</v>
      </c>
      <c r="H300" s="2" t="s">
        <v>26</v>
      </c>
      <c r="I300" s="2" t="s">
        <v>28</v>
      </c>
      <c r="J300" s="2" t="s">
        <v>9</v>
      </c>
      <c r="K300" s="64"/>
    </row>
    <row r="301" spans="1:11">
      <c r="A301">
        <v>1</v>
      </c>
      <c r="B301">
        <v>250</v>
      </c>
      <c r="C301" s="91" t="s">
        <v>1553</v>
      </c>
      <c r="D301">
        <v>25</v>
      </c>
      <c r="E301" s="12" t="s">
        <v>17</v>
      </c>
      <c r="F301">
        <v>2024</v>
      </c>
      <c r="G301" s="92" t="s">
        <v>1574</v>
      </c>
      <c r="H301" s="92" t="s">
        <v>1575</v>
      </c>
      <c r="I301" s="93" t="s">
        <v>1612</v>
      </c>
      <c r="J301" s="12" t="s">
        <v>1062</v>
      </c>
    </row>
    <row r="302" spans="1:11">
      <c r="A302">
        <v>2</v>
      </c>
      <c r="B302">
        <v>251</v>
      </c>
      <c r="C302" s="91" t="s">
        <v>1554</v>
      </c>
      <c r="D302">
        <v>25</v>
      </c>
      <c r="E302" s="12" t="s">
        <v>17</v>
      </c>
      <c r="F302">
        <v>2024</v>
      </c>
      <c r="G302" s="92" t="s">
        <v>1576</v>
      </c>
      <c r="H302" s="92" t="s">
        <v>756</v>
      </c>
      <c r="I302" s="93" t="s">
        <v>1613</v>
      </c>
      <c r="J302" s="12" t="s">
        <v>1062</v>
      </c>
    </row>
    <row r="303" spans="1:11">
      <c r="A303">
        <v>3</v>
      </c>
      <c r="B303">
        <v>252</v>
      </c>
      <c r="C303" s="91" t="s">
        <v>1633</v>
      </c>
      <c r="D303">
        <v>25</v>
      </c>
      <c r="E303" s="12" t="s">
        <v>17</v>
      </c>
      <c r="F303">
        <v>2024</v>
      </c>
      <c r="G303" s="92" t="s">
        <v>1577</v>
      </c>
      <c r="H303" s="92" t="s">
        <v>1578</v>
      </c>
      <c r="I303" s="93" t="s">
        <v>1614</v>
      </c>
      <c r="J303" s="12" t="s">
        <v>1062</v>
      </c>
    </row>
    <row r="304" spans="1:11">
      <c r="A304">
        <v>4</v>
      </c>
      <c r="B304">
        <v>253</v>
      </c>
      <c r="C304" s="91" t="s">
        <v>1555</v>
      </c>
      <c r="D304">
        <v>25</v>
      </c>
      <c r="E304" s="12" t="s">
        <v>17</v>
      </c>
      <c r="F304">
        <v>2024</v>
      </c>
      <c r="G304" s="92" t="s">
        <v>1634</v>
      </c>
      <c r="H304" s="92" t="s">
        <v>1579</v>
      </c>
      <c r="I304" s="93" t="s">
        <v>1615</v>
      </c>
      <c r="J304" s="12" t="s">
        <v>1062</v>
      </c>
    </row>
    <row r="305" spans="1:10">
      <c r="A305">
        <v>5</v>
      </c>
      <c r="B305">
        <v>254</v>
      </c>
      <c r="C305" s="91" t="s">
        <v>1556</v>
      </c>
      <c r="D305">
        <v>25</v>
      </c>
      <c r="E305" s="12" t="s">
        <v>17</v>
      </c>
      <c r="F305">
        <v>2024</v>
      </c>
      <c r="G305" s="92" t="s">
        <v>1580</v>
      </c>
      <c r="H305" s="92" t="s">
        <v>1581</v>
      </c>
      <c r="I305" s="93" t="s">
        <v>1616</v>
      </c>
      <c r="J305" s="12" t="s">
        <v>1062</v>
      </c>
    </row>
    <row r="306" spans="1:10">
      <c r="A306">
        <v>6</v>
      </c>
      <c r="B306">
        <v>255</v>
      </c>
      <c r="C306" s="91" t="s">
        <v>1557</v>
      </c>
      <c r="D306">
        <v>25</v>
      </c>
      <c r="E306" s="12" t="s">
        <v>17</v>
      </c>
      <c r="F306">
        <v>2024</v>
      </c>
      <c r="G306" s="92" t="s">
        <v>1582</v>
      </c>
      <c r="H306" s="92" t="s">
        <v>1583</v>
      </c>
      <c r="I306" s="93" t="s">
        <v>1617</v>
      </c>
      <c r="J306" s="12" t="s">
        <v>1062</v>
      </c>
    </row>
    <row r="307" spans="1:10">
      <c r="A307">
        <v>7</v>
      </c>
      <c r="B307">
        <v>256</v>
      </c>
      <c r="C307" s="91" t="s">
        <v>1558</v>
      </c>
      <c r="D307">
        <v>25</v>
      </c>
      <c r="E307" s="12" t="s">
        <v>17</v>
      </c>
      <c r="F307">
        <v>2024</v>
      </c>
      <c r="G307" s="92" t="s">
        <v>1584</v>
      </c>
      <c r="H307" s="92" t="s">
        <v>1585</v>
      </c>
      <c r="I307" s="93" t="s">
        <v>1618</v>
      </c>
      <c r="J307" s="12" t="s">
        <v>1062</v>
      </c>
    </row>
    <row r="308" spans="1:10">
      <c r="A308">
        <v>8</v>
      </c>
      <c r="B308">
        <v>257</v>
      </c>
      <c r="C308" s="91" t="s">
        <v>1559</v>
      </c>
      <c r="D308">
        <v>25</v>
      </c>
      <c r="E308" s="12" t="s">
        <v>17</v>
      </c>
      <c r="F308">
        <v>2024</v>
      </c>
      <c r="G308" s="92" t="s">
        <v>1586</v>
      </c>
      <c r="H308" s="92" t="s">
        <v>1587</v>
      </c>
      <c r="I308" s="93" t="s">
        <v>1619</v>
      </c>
      <c r="J308" s="12" t="s">
        <v>1062</v>
      </c>
    </row>
    <row r="309" spans="1:10">
      <c r="A309">
        <v>9</v>
      </c>
      <c r="B309">
        <v>258</v>
      </c>
      <c r="C309" s="91" t="s">
        <v>1560</v>
      </c>
      <c r="D309">
        <v>25</v>
      </c>
      <c r="E309" s="12" t="s">
        <v>17</v>
      </c>
      <c r="F309">
        <v>2024</v>
      </c>
      <c r="G309" s="92" t="s">
        <v>1588</v>
      </c>
      <c r="H309" s="92" t="s">
        <v>1589</v>
      </c>
      <c r="I309" s="93" t="s">
        <v>1635</v>
      </c>
      <c r="J309" s="12" t="s">
        <v>1062</v>
      </c>
    </row>
    <row r="310" spans="1:10">
      <c r="A310">
        <v>10</v>
      </c>
      <c r="B310">
        <v>259</v>
      </c>
      <c r="C310" s="91" t="s">
        <v>1561</v>
      </c>
      <c r="D310">
        <v>25</v>
      </c>
      <c r="E310" s="12" t="s">
        <v>17</v>
      </c>
      <c r="F310">
        <v>2024</v>
      </c>
      <c r="G310" s="92" t="s">
        <v>1590</v>
      </c>
      <c r="H310" s="92" t="s">
        <v>1591</v>
      </c>
      <c r="I310" s="93" t="s">
        <v>1620</v>
      </c>
      <c r="J310" s="12" t="s">
        <v>1062</v>
      </c>
    </row>
    <row r="311" spans="1:10">
      <c r="A311">
        <v>11</v>
      </c>
      <c r="B311">
        <v>260</v>
      </c>
      <c r="C311" s="91" t="s">
        <v>1562</v>
      </c>
      <c r="D311">
        <v>25</v>
      </c>
      <c r="E311" s="12" t="s">
        <v>17</v>
      </c>
      <c r="F311">
        <v>2024</v>
      </c>
      <c r="G311" s="92" t="s">
        <v>1592</v>
      </c>
      <c r="H311" s="92" t="s">
        <v>1593</v>
      </c>
      <c r="I311" s="93" t="s">
        <v>1604</v>
      </c>
      <c r="J311" s="12" t="s">
        <v>1062</v>
      </c>
    </row>
    <row r="312" spans="1:10">
      <c r="A312">
        <v>12</v>
      </c>
      <c r="B312">
        <v>261</v>
      </c>
      <c r="C312" s="91" t="s">
        <v>1563</v>
      </c>
      <c r="D312">
        <v>25</v>
      </c>
      <c r="E312" s="12" t="s">
        <v>17</v>
      </c>
      <c r="F312">
        <v>2024</v>
      </c>
      <c r="G312" s="92" t="s">
        <v>1594</v>
      </c>
      <c r="H312" s="92" t="s">
        <v>1595</v>
      </c>
      <c r="I312" s="93" t="s">
        <v>1621</v>
      </c>
      <c r="J312" s="12" t="s">
        <v>1062</v>
      </c>
    </row>
    <row r="313" spans="1:10">
      <c r="A313">
        <v>13</v>
      </c>
      <c r="B313">
        <v>262</v>
      </c>
      <c r="C313" s="91" t="s">
        <v>1564</v>
      </c>
      <c r="D313">
        <v>25</v>
      </c>
      <c r="E313" s="12" t="s">
        <v>17</v>
      </c>
      <c r="F313">
        <v>2024</v>
      </c>
      <c r="G313" s="92" t="s">
        <v>1596</v>
      </c>
      <c r="H313" s="92" t="s">
        <v>1597</v>
      </c>
      <c r="I313" s="93" t="s">
        <v>1622</v>
      </c>
      <c r="J313" s="12" t="s">
        <v>1062</v>
      </c>
    </row>
    <row r="314" spans="1:10">
      <c r="A314">
        <v>14</v>
      </c>
      <c r="B314">
        <v>263</v>
      </c>
      <c r="C314" s="91" t="s">
        <v>1565</v>
      </c>
      <c r="D314">
        <v>25</v>
      </c>
      <c r="E314" s="12" t="s">
        <v>17</v>
      </c>
      <c r="F314">
        <v>2024</v>
      </c>
      <c r="G314" s="92" t="s">
        <v>1598</v>
      </c>
      <c r="H314" s="92" t="s">
        <v>1599</v>
      </c>
      <c r="I314" s="93" t="s">
        <v>1623</v>
      </c>
      <c r="J314" s="12" t="s">
        <v>1062</v>
      </c>
    </row>
    <row r="315" spans="1:10">
      <c r="A315">
        <v>15</v>
      </c>
      <c r="B315">
        <v>264</v>
      </c>
      <c r="C315" s="91" t="s">
        <v>1566</v>
      </c>
      <c r="D315">
        <v>25</v>
      </c>
      <c r="E315" s="12" t="s">
        <v>17</v>
      </c>
      <c r="F315">
        <v>2024</v>
      </c>
      <c r="G315" s="92" t="s">
        <v>1600</v>
      </c>
      <c r="H315" s="92" t="s">
        <v>1601</v>
      </c>
      <c r="I315" s="93" t="s">
        <v>1624</v>
      </c>
      <c r="J315" s="12" t="s">
        <v>1062</v>
      </c>
    </row>
    <row r="316" spans="1:10">
      <c r="A316">
        <v>16</v>
      </c>
      <c r="B316">
        <v>265</v>
      </c>
      <c r="C316" s="91" t="s">
        <v>1567</v>
      </c>
      <c r="D316">
        <v>25</v>
      </c>
      <c r="E316" s="12" t="s">
        <v>17</v>
      </c>
      <c r="F316">
        <v>2024</v>
      </c>
      <c r="G316" s="92" t="s">
        <v>1602</v>
      </c>
      <c r="H316" s="92" t="s">
        <v>1603</v>
      </c>
      <c r="I316" s="93" t="s">
        <v>1625</v>
      </c>
      <c r="J316" s="12" t="s">
        <v>1062</v>
      </c>
    </row>
    <row r="317" spans="1:10">
      <c r="A317">
        <v>17</v>
      </c>
      <c r="B317">
        <v>266</v>
      </c>
      <c r="C317" s="91" t="s">
        <v>1568</v>
      </c>
      <c r="D317">
        <v>25</v>
      </c>
      <c r="E317" s="12" t="s">
        <v>17</v>
      </c>
      <c r="F317">
        <v>2024</v>
      </c>
      <c r="G317" s="92" t="s">
        <v>1604</v>
      </c>
      <c r="H317" s="92" t="s">
        <v>1636</v>
      </c>
      <c r="I317" s="93" t="s">
        <v>1626</v>
      </c>
      <c r="J317" s="12" t="s">
        <v>1062</v>
      </c>
    </row>
    <row r="318" spans="1:10">
      <c r="A318">
        <v>18</v>
      </c>
      <c r="B318">
        <v>267</v>
      </c>
      <c r="C318" s="91" t="s">
        <v>1569</v>
      </c>
      <c r="D318">
        <v>25</v>
      </c>
      <c r="E318" s="12" t="s">
        <v>17</v>
      </c>
      <c r="F318">
        <v>2024</v>
      </c>
      <c r="G318" s="92" t="s">
        <v>1637</v>
      </c>
      <c r="H318" s="92" t="s">
        <v>1638</v>
      </c>
      <c r="I318" s="93" t="s">
        <v>1627</v>
      </c>
      <c r="J318" s="12" t="s">
        <v>1062</v>
      </c>
    </row>
    <row r="319" spans="1:10">
      <c r="A319">
        <v>19</v>
      </c>
      <c r="B319">
        <v>268</v>
      </c>
      <c r="C319" s="91" t="s">
        <v>1570</v>
      </c>
      <c r="D319">
        <v>25</v>
      </c>
      <c r="E319" s="12" t="s">
        <v>17</v>
      </c>
      <c r="F319">
        <v>2024</v>
      </c>
      <c r="G319" s="92" t="s">
        <v>1605</v>
      </c>
      <c r="H319" s="92" t="s">
        <v>1606</v>
      </c>
      <c r="I319" s="93" t="s">
        <v>1628</v>
      </c>
      <c r="J319" s="12" t="s">
        <v>1062</v>
      </c>
    </row>
    <row r="320" spans="1:10">
      <c r="A320">
        <v>20</v>
      </c>
      <c r="B320">
        <v>269</v>
      </c>
      <c r="C320" s="91" t="s">
        <v>1571</v>
      </c>
      <c r="D320">
        <v>25</v>
      </c>
      <c r="E320" s="12" t="s">
        <v>17</v>
      </c>
      <c r="F320">
        <v>2024</v>
      </c>
      <c r="G320" s="92" t="s">
        <v>1607</v>
      </c>
      <c r="H320" s="92" t="s">
        <v>1639</v>
      </c>
      <c r="I320" s="93" t="s">
        <v>1629</v>
      </c>
      <c r="J320" s="12" t="s">
        <v>1062</v>
      </c>
    </row>
    <row r="321" spans="1:11">
      <c r="A321">
        <v>21</v>
      </c>
      <c r="B321">
        <v>270</v>
      </c>
      <c r="C321" s="91" t="s">
        <v>1572</v>
      </c>
      <c r="D321">
        <v>25</v>
      </c>
      <c r="E321" s="12" t="s">
        <v>17</v>
      </c>
      <c r="F321">
        <v>2024</v>
      </c>
      <c r="G321" s="92" t="s">
        <v>1608</v>
      </c>
      <c r="H321" s="92" t="s">
        <v>1609</v>
      </c>
      <c r="I321" s="93" t="s">
        <v>1630</v>
      </c>
      <c r="J321" s="12" t="s">
        <v>1062</v>
      </c>
    </row>
    <row r="322" spans="1:11">
      <c r="A322">
        <v>22</v>
      </c>
      <c r="B322">
        <v>271</v>
      </c>
      <c r="C322" s="91" t="s">
        <v>1573</v>
      </c>
      <c r="D322">
        <v>25</v>
      </c>
      <c r="E322" s="12" t="s">
        <v>17</v>
      </c>
      <c r="F322">
        <v>2024</v>
      </c>
      <c r="G322" s="92" t="s">
        <v>1610</v>
      </c>
      <c r="H322" s="92" t="s">
        <v>1611</v>
      </c>
      <c r="I322" s="93" t="s">
        <v>1631</v>
      </c>
      <c r="J322" s="12" t="s">
        <v>1062</v>
      </c>
    </row>
    <row r="323" spans="1:11">
      <c r="C323" s="88"/>
    </row>
    <row r="324" spans="1:11" ht="18">
      <c r="C324" s="77" t="s">
        <v>1927</v>
      </c>
      <c r="E324" s="12"/>
      <c r="J324" s="12"/>
    </row>
    <row r="325" spans="1:11">
      <c r="C325" s="10" t="s">
        <v>25</v>
      </c>
      <c r="D325" s="96" t="s">
        <v>10</v>
      </c>
      <c r="E325" s="96" t="s">
        <v>11</v>
      </c>
      <c r="F325" s="96" t="s">
        <v>12</v>
      </c>
      <c r="G325" s="2" t="s">
        <v>27</v>
      </c>
      <c r="H325" s="2" t="s">
        <v>26</v>
      </c>
      <c r="I325" s="2" t="s">
        <v>28</v>
      </c>
      <c r="J325" s="2" t="s">
        <v>9</v>
      </c>
      <c r="K325" s="64"/>
    </row>
    <row r="326" spans="1:11">
      <c r="A326">
        <v>1</v>
      </c>
      <c r="B326">
        <v>272</v>
      </c>
      <c r="C326" t="s">
        <v>1640</v>
      </c>
      <c r="D326">
        <v>25</v>
      </c>
      <c r="E326" s="12" t="s">
        <v>17</v>
      </c>
      <c r="F326">
        <v>2024</v>
      </c>
      <c r="G326" t="s">
        <v>1641</v>
      </c>
      <c r="H326" t="s">
        <v>1642</v>
      </c>
      <c r="I326" t="s">
        <v>1643</v>
      </c>
      <c r="J326" s="12" t="s">
        <v>1062</v>
      </c>
    </row>
    <row r="327" spans="1:11">
      <c r="A327">
        <v>2</v>
      </c>
      <c r="B327">
        <v>273</v>
      </c>
      <c r="C327" t="s">
        <v>1644</v>
      </c>
      <c r="D327">
        <v>25</v>
      </c>
      <c r="E327" s="12" t="s">
        <v>17</v>
      </c>
      <c r="F327">
        <v>2024</v>
      </c>
      <c r="G327" t="s">
        <v>1645</v>
      </c>
      <c r="H327" t="s">
        <v>1646</v>
      </c>
      <c r="I327" t="s">
        <v>1647</v>
      </c>
      <c r="J327" s="12" t="s">
        <v>1062</v>
      </c>
    </row>
    <row r="328" spans="1:11">
      <c r="A328">
        <v>3</v>
      </c>
      <c r="B328">
        <v>274</v>
      </c>
      <c r="C328" t="s">
        <v>1648</v>
      </c>
      <c r="D328">
        <v>25</v>
      </c>
      <c r="E328" s="12" t="s">
        <v>17</v>
      </c>
      <c r="F328">
        <v>2024</v>
      </c>
      <c r="G328" t="s">
        <v>780</v>
      </c>
      <c r="H328" t="s">
        <v>1649</v>
      </c>
      <c r="I328" t="s">
        <v>1650</v>
      </c>
      <c r="J328" s="12" t="s">
        <v>1062</v>
      </c>
    </row>
    <row r="329" spans="1:11">
      <c r="A329">
        <v>4</v>
      </c>
      <c r="B329">
        <v>275</v>
      </c>
      <c r="C329" t="s">
        <v>1651</v>
      </c>
      <c r="D329">
        <v>25</v>
      </c>
      <c r="E329" s="12" t="s">
        <v>17</v>
      </c>
      <c r="F329">
        <v>2024</v>
      </c>
      <c r="G329" t="s">
        <v>1652</v>
      </c>
      <c r="H329" t="s">
        <v>1653</v>
      </c>
      <c r="I329" t="s">
        <v>1654</v>
      </c>
      <c r="J329" s="12" t="s">
        <v>1062</v>
      </c>
    </row>
    <row r="330" spans="1:11">
      <c r="A330">
        <v>5</v>
      </c>
      <c r="B330">
        <v>276</v>
      </c>
      <c r="C330" t="s">
        <v>1655</v>
      </c>
      <c r="D330">
        <v>25</v>
      </c>
      <c r="E330" s="12" t="s">
        <v>17</v>
      </c>
      <c r="F330">
        <v>2024</v>
      </c>
      <c r="G330" t="s">
        <v>1656</v>
      </c>
      <c r="H330" t="s">
        <v>1657</v>
      </c>
      <c r="I330" t="s">
        <v>1658</v>
      </c>
      <c r="J330" s="12" t="s">
        <v>1062</v>
      </c>
    </row>
    <row r="331" spans="1:11">
      <c r="A331">
        <v>6</v>
      </c>
      <c r="B331">
        <v>277</v>
      </c>
      <c r="C331" t="s">
        <v>1659</v>
      </c>
      <c r="D331">
        <v>25</v>
      </c>
      <c r="E331" s="12" t="s">
        <v>17</v>
      </c>
      <c r="F331">
        <v>2024</v>
      </c>
      <c r="G331" t="s">
        <v>795</v>
      </c>
      <c r="H331" t="s">
        <v>1660</v>
      </c>
      <c r="I331" t="s">
        <v>1722</v>
      </c>
      <c r="J331" s="12" t="s">
        <v>1062</v>
      </c>
    </row>
    <row r="332" spans="1:11">
      <c r="A332">
        <v>7</v>
      </c>
      <c r="B332">
        <v>278</v>
      </c>
      <c r="C332" t="s">
        <v>1661</v>
      </c>
      <c r="D332">
        <v>25</v>
      </c>
      <c r="E332" s="12" t="s">
        <v>17</v>
      </c>
      <c r="F332">
        <v>2024</v>
      </c>
      <c r="G332" t="s">
        <v>1662</v>
      </c>
      <c r="H332" t="s">
        <v>1663</v>
      </c>
      <c r="I332" t="s">
        <v>1664</v>
      </c>
      <c r="J332" s="12" t="s">
        <v>1062</v>
      </c>
    </row>
    <row r="333" spans="1:11">
      <c r="A333">
        <v>8</v>
      </c>
      <c r="B333">
        <v>279</v>
      </c>
      <c r="C333" t="s">
        <v>1665</v>
      </c>
      <c r="D333">
        <v>25</v>
      </c>
      <c r="E333" s="12" t="s">
        <v>17</v>
      </c>
      <c r="F333">
        <v>2024</v>
      </c>
      <c r="G333" t="s">
        <v>1666</v>
      </c>
      <c r="H333" t="s">
        <v>1667</v>
      </c>
      <c r="I333" t="s">
        <v>1668</v>
      </c>
      <c r="J333" s="12" t="s">
        <v>1062</v>
      </c>
    </row>
    <row r="334" spans="1:11">
      <c r="A334">
        <v>9</v>
      </c>
      <c r="B334">
        <v>280</v>
      </c>
      <c r="C334" t="s">
        <v>1675</v>
      </c>
      <c r="D334">
        <v>25</v>
      </c>
      <c r="E334" s="12" t="s">
        <v>17</v>
      </c>
      <c r="F334">
        <v>2024</v>
      </c>
      <c r="G334" t="s">
        <v>1669</v>
      </c>
      <c r="H334" t="s">
        <v>1670</v>
      </c>
      <c r="I334" t="s">
        <v>1671</v>
      </c>
      <c r="J334" s="12" t="s">
        <v>1062</v>
      </c>
    </row>
    <row r="335" spans="1:11">
      <c r="A335">
        <v>10</v>
      </c>
      <c r="B335">
        <v>281</v>
      </c>
      <c r="C335" t="s">
        <v>1672</v>
      </c>
      <c r="D335">
        <v>25</v>
      </c>
      <c r="E335" s="12" t="s">
        <v>17</v>
      </c>
      <c r="F335">
        <v>2024</v>
      </c>
      <c r="G335" t="s">
        <v>1673</v>
      </c>
      <c r="H335" t="s">
        <v>1674</v>
      </c>
      <c r="I335" t="s">
        <v>497</v>
      </c>
      <c r="J335" s="12" t="s">
        <v>1062</v>
      </c>
    </row>
    <row r="336" spans="1:11">
      <c r="A336">
        <v>11</v>
      </c>
      <c r="B336">
        <v>282</v>
      </c>
      <c r="C336" t="s">
        <v>1934</v>
      </c>
      <c r="D336">
        <v>25</v>
      </c>
      <c r="E336" s="12" t="s">
        <v>17</v>
      </c>
      <c r="F336">
        <v>2024</v>
      </c>
      <c r="G336" t="s">
        <v>1669</v>
      </c>
      <c r="H336" t="s">
        <v>1670</v>
      </c>
      <c r="I336" t="s">
        <v>1654</v>
      </c>
      <c r="J336" s="12" t="s">
        <v>1062</v>
      </c>
    </row>
    <row r="337" spans="1:11">
      <c r="A337">
        <v>12</v>
      </c>
      <c r="B337">
        <v>283</v>
      </c>
      <c r="C337" t="s">
        <v>1676</v>
      </c>
      <c r="D337">
        <v>25</v>
      </c>
      <c r="E337" s="12" t="s">
        <v>17</v>
      </c>
      <c r="F337">
        <v>2024</v>
      </c>
      <c r="G337" t="s">
        <v>1677</v>
      </c>
      <c r="H337" t="s">
        <v>1678</v>
      </c>
      <c r="I337" t="s">
        <v>1679</v>
      </c>
      <c r="J337" s="12" t="s">
        <v>1062</v>
      </c>
    </row>
    <row r="338" spans="1:11">
      <c r="A338">
        <v>13</v>
      </c>
      <c r="B338">
        <v>284</v>
      </c>
      <c r="C338" t="s">
        <v>1680</v>
      </c>
      <c r="D338">
        <v>25</v>
      </c>
      <c r="E338" s="12" t="s">
        <v>17</v>
      </c>
      <c r="F338">
        <v>2024</v>
      </c>
      <c r="G338" t="s">
        <v>1681</v>
      </c>
      <c r="H338" t="s">
        <v>1682</v>
      </c>
      <c r="I338" t="s">
        <v>1683</v>
      </c>
      <c r="J338" s="12" t="s">
        <v>1062</v>
      </c>
    </row>
    <row r="339" spans="1:11">
      <c r="A339">
        <v>14</v>
      </c>
      <c r="B339">
        <v>285</v>
      </c>
      <c r="C339" t="s">
        <v>1684</v>
      </c>
      <c r="D339">
        <v>25</v>
      </c>
      <c r="E339" s="12" t="s">
        <v>17</v>
      </c>
      <c r="F339">
        <v>2024</v>
      </c>
      <c r="G339" t="s">
        <v>1685</v>
      </c>
      <c r="H339" t="s">
        <v>1686</v>
      </c>
      <c r="I339" t="s">
        <v>1687</v>
      </c>
      <c r="J339" s="12" t="s">
        <v>1062</v>
      </c>
    </row>
    <row r="340" spans="1:11">
      <c r="A340">
        <v>15</v>
      </c>
      <c r="B340">
        <v>286</v>
      </c>
      <c r="C340" t="s">
        <v>1688</v>
      </c>
      <c r="D340">
        <v>25</v>
      </c>
      <c r="E340" s="12" t="s">
        <v>17</v>
      </c>
      <c r="F340">
        <v>2024</v>
      </c>
      <c r="G340" t="s">
        <v>367</v>
      </c>
      <c r="H340" t="s">
        <v>368</v>
      </c>
      <c r="I340" t="s">
        <v>1689</v>
      </c>
      <c r="J340" s="12" t="s">
        <v>1062</v>
      </c>
    </row>
    <row r="341" spans="1:11">
      <c r="A341">
        <v>16</v>
      </c>
      <c r="B341">
        <v>287</v>
      </c>
      <c r="C341" t="s">
        <v>1690</v>
      </c>
      <c r="D341">
        <v>25</v>
      </c>
      <c r="E341" s="12" t="s">
        <v>17</v>
      </c>
      <c r="F341">
        <v>2024</v>
      </c>
      <c r="G341" t="s">
        <v>1691</v>
      </c>
      <c r="H341" t="s">
        <v>1692</v>
      </c>
      <c r="I341" t="s">
        <v>1693</v>
      </c>
      <c r="J341" s="12" t="s">
        <v>1062</v>
      </c>
    </row>
    <row r="342" spans="1:11">
      <c r="A342">
        <v>17</v>
      </c>
      <c r="B342">
        <v>288</v>
      </c>
      <c r="C342" t="s">
        <v>1694</v>
      </c>
      <c r="D342">
        <v>25</v>
      </c>
      <c r="E342" s="12" t="s">
        <v>17</v>
      </c>
      <c r="F342">
        <v>2024</v>
      </c>
      <c r="G342" t="s">
        <v>1695</v>
      </c>
      <c r="H342" t="s">
        <v>1696</v>
      </c>
      <c r="I342" t="s">
        <v>1697</v>
      </c>
      <c r="J342" s="12" t="s">
        <v>1062</v>
      </c>
    </row>
    <row r="343" spans="1:11">
      <c r="A343">
        <v>18</v>
      </c>
      <c r="B343">
        <v>289</v>
      </c>
      <c r="C343" t="s">
        <v>1698</v>
      </c>
      <c r="D343">
        <v>25</v>
      </c>
      <c r="E343" s="12" t="s">
        <v>17</v>
      </c>
      <c r="F343">
        <v>2024</v>
      </c>
      <c r="G343" t="s">
        <v>702</v>
      </c>
      <c r="H343" t="s">
        <v>1699</v>
      </c>
      <c r="I343" t="s">
        <v>704</v>
      </c>
      <c r="J343" s="12" t="s">
        <v>1062</v>
      </c>
    </row>
    <row r="344" spans="1:11">
      <c r="A344">
        <v>19</v>
      </c>
      <c r="B344">
        <v>290</v>
      </c>
      <c r="C344" t="s">
        <v>1700</v>
      </c>
      <c r="D344">
        <v>25</v>
      </c>
      <c r="E344" s="12" t="s">
        <v>17</v>
      </c>
      <c r="F344">
        <v>2024</v>
      </c>
      <c r="G344" t="s">
        <v>1701</v>
      </c>
      <c r="H344" t="s">
        <v>1702</v>
      </c>
      <c r="I344" t="s">
        <v>1703</v>
      </c>
      <c r="J344" s="12" t="s">
        <v>1062</v>
      </c>
    </row>
    <row r="345" spans="1:11">
      <c r="A345">
        <v>20</v>
      </c>
      <c r="B345">
        <v>291</v>
      </c>
      <c r="C345" t="s">
        <v>1704</v>
      </c>
      <c r="D345">
        <v>25</v>
      </c>
      <c r="E345" s="12" t="s">
        <v>17</v>
      </c>
      <c r="F345">
        <v>2024</v>
      </c>
      <c r="G345" t="s">
        <v>1705</v>
      </c>
      <c r="H345" t="s">
        <v>1706</v>
      </c>
      <c r="I345" t="s">
        <v>1707</v>
      </c>
      <c r="J345" s="12" t="s">
        <v>1062</v>
      </c>
    </row>
    <row r="346" spans="1:11">
      <c r="A346">
        <v>21</v>
      </c>
      <c r="B346">
        <v>292</v>
      </c>
      <c r="C346" t="s">
        <v>1708</v>
      </c>
      <c r="D346">
        <v>25</v>
      </c>
      <c r="E346" s="12" t="s">
        <v>17</v>
      </c>
      <c r="F346">
        <v>2024</v>
      </c>
      <c r="G346" t="s">
        <v>1709</v>
      </c>
      <c r="H346" t="s">
        <v>1710</v>
      </c>
      <c r="I346" t="s">
        <v>1711</v>
      </c>
      <c r="J346" s="12" t="s">
        <v>1062</v>
      </c>
    </row>
    <row r="347" spans="1:11">
      <c r="A347">
        <v>22</v>
      </c>
      <c r="B347">
        <v>293</v>
      </c>
      <c r="C347" t="s">
        <v>1712</v>
      </c>
      <c r="D347">
        <v>25</v>
      </c>
      <c r="E347" s="12" t="s">
        <v>17</v>
      </c>
      <c r="F347">
        <v>2024</v>
      </c>
      <c r="G347" t="s">
        <v>1713</v>
      </c>
      <c r="H347" t="s">
        <v>1714</v>
      </c>
      <c r="I347" t="s">
        <v>1715</v>
      </c>
      <c r="J347" s="12" t="s">
        <v>1062</v>
      </c>
    </row>
    <row r="348" spans="1:11">
      <c r="A348">
        <v>23</v>
      </c>
      <c r="B348">
        <v>294</v>
      </c>
      <c r="C348" t="s">
        <v>1716</v>
      </c>
      <c r="D348">
        <v>25</v>
      </c>
      <c r="E348" s="12" t="s">
        <v>17</v>
      </c>
      <c r="F348">
        <v>2024</v>
      </c>
      <c r="G348" t="s">
        <v>1717</v>
      </c>
      <c r="H348" t="s">
        <v>1718</v>
      </c>
      <c r="I348" t="s">
        <v>1719</v>
      </c>
      <c r="J348" s="12" t="s">
        <v>1062</v>
      </c>
    </row>
    <row r="349" spans="1:11">
      <c r="A349">
        <v>24</v>
      </c>
      <c r="B349">
        <v>295</v>
      </c>
      <c r="C349" t="s">
        <v>1720</v>
      </c>
      <c r="D349">
        <v>25</v>
      </c>
      <c r="E349" s="12" t="s">
        <v>17</v>
      </c>
      <c r="F349">
        <v>2024</v>
      </c>
      <c r="G349" t="s">
        <v>1574</v>
      </c>
      <c r="H349" t="s">
        <v>1575</v>
      </c>
      <c r="I349" t="s">
        <v>1721</v>
      </c>
      <c r="J349" s="12" t="s">
        <v>1062</v>
      </c>
    </row>
    <row r="350" spans="1:11">
      <c r="E350" s="12"/>
      <c r="J350" s="12"/>
    </row>
    <row r="351" spans="1:11" ht="18">
      <c r="C351" s="77" t="s">
        <v>1928</v>
      </c>
      <c r="E351" s="12"/>
      <c r="J351" s="12"/>
    </row>
    <row r="352" spans="1:11">
      <c r="C352" s="10" t="s">
        <v>25</v>
      </c>
      <c r="D352" s="96" t="s">
        <v>10</v>
      </c>
      <c r="E352" s="96" t="s">
        <v>11</v>
      </c>
      <c r="F352" s="96" t="s">
        <v>12</v>
      </c>
      <c r="G352" s="2" t="s">
        <v>27</v>
      </c>
      <c r="H352" s="2" t="s">
        <v>26</v>
      </c>
      <c r="I352" s="2" t="s">
        <v>28</v>
      </c>
      <c r="J352" s="2" t="s">
        <v>9</v>
      </c>
      <c r="K352" s="64"/>
    </row>
    <row r="353" spans="1:10">
      <c r="A353">
        <v>1</v>
      </c>
      <c r="B353">
        <v>296</v>
      </c>
      <c r="C353" t="s">
        <v>1723</v>
      </c>
      <c r="D353">
        <v>31</v>
      </c>
      <c r="E353" s="12" t="s">
        <v>17</v>
      </c>
      <c r="F353">
        <v>2024</v>
      </c>
      <c r="G353" t="s">
        <v>1724</v>
      </c>
      <c r="H353" t="s">
        <v>1725</v>
      </c>
      <c r="I353" t="s">
        <v>1726</v>
      </c>
      <c r="J353" s="12" t="s">
        <v>1062</v>
      </c>
    </row>
    <row r="354" spans="1:10">
      <c r="A354">
        <v>2</v>
      </c>
      <c r="B354">
        <v>297</v>
      </c>
      <c r="C354" t="s">
        <v>1727</v>
      </c>
      <c r="D354">
        <v>31</v>
      </c>
      <c r="E354" s="12" t="s">
        <v>17</v>
      </c>
      <c r="F354">
        <v>2024</v>
      </c>
      <c r="G354" t="s">
        <v>1728</v>
      </c>
      <c r="H354" t="s">
        <v>1729</v>
      </c>
      <c r="I354" t="s">
        <v>1730</v>
      </c>
      <c r="J354" s="12" t="s">
        <v>1062</v>
      </c>
    </row>
    <row r="355" spans="1:10">
      <c r="A355">
        <v>3</v>
      </c>
      <c r="B355">
        <v>298</v>
      </c>
      <c r="C355" t="s">
        <v>1731</v>
      </c>
      <c r="D355">
        <v>31</v>
      </c>
      <c r="E355" s="12" t="s">
        <v>17</v>
      </c>
      <c r="F355">
        <v>2024</v>
      </c>
      <c r="G355" t="s">
        <v>1732</v>
      </c>
      <c r="H355" t="s">
        <v>1733</v>
      </c>
      <c r="I355" t="s">
        <v>1734</v>
      </c>
      <c r="J355" s="12" t="s">
        <v>1062</v>
      </c>
    </row>
    <row r="356" spans="1:10">
      <c r="A356">
        <v>4</v>
      </c>
      <c r="B356">
        <v>299</v>
      </c>
      <c r="C356" t="s">
        <v>1736</v>
      </c>
      <c r="D356">
        <v>31</v>
      </c>
      <c r="E356" s="12" t="s">
        <v>17</v>
      </c>
      <c r="F356">
        <v>2024</v>
      </c>
      <c r="G356" t="s">
        <v>1735</v>
      </c>
      <c r="H356" t="s">
        <v>1737</v>
      </c>
      <c r="I356" t="s">
        <v>1738</v>
      </c>
      <c r="J356" s="12" t="s">
        <v>1062</v>
      </c>
    </row>
    <row r="357" spans="1:10">
      <c r="A357">
        <v>5</v>
      </c>
      <c r="B357">
        <v>300</v>
      </c>
      <c r="C357" t="s">
        <v>1739</v>
      </c>
      <c r="D357">
        <v>31</v>
      </c>
      <c r="E357" s="12" t="s">
        <v>17</v>
      </c>
      <c r="F357">
        <v>2024</v>
      </c>
      <c r="G357" t="s">
        <v>1941</v>
      </c>
      <c r="H357" t="s">
        <v>1740</v>
      </c>
      <c r="I357" t="s">
        <v>1943</v>
      </c>
      <c r="J357" s="12" t="s">
        <v>1062</v>
      </c>
    </row>
    <row r="358" spans="1:10">
      <c r="A358">
        <v>6</v>
      </c>
      <c r="B358">
        <v>301</v>
      </c>
      <c r="C358" t="s">
        <v>1741</v>
      </c>
      <c r="D358">
        <v>31</v>
      </c>
      <c r="E358" s="12" t="s">
        <v>17</v>
      </c>
      <c r="F358">
        <v>2024</v>
      </c>
      <c r="G358" t="s">
        <v>1742</v>
      </c>
      <c r="H358" t="s">
        <v>1743</v>
      </c>
      <c r="I358" t="s">
        <v>1744</v>
      </c>
      <c r="J358" s="12" t="s">
        <v>1062</v>
      </c>
    </row>
    <row r="359" spans="1:10">
      <c r="A359">
        <v>7</v>
      </c>
      <c r="B359">
        <v>302</v>
      </c>
      <c r="C359" t="s">
        <v>1745</v>
      </c>
      <c r="D359">
        <v>31</v>
      </c>
      <c r="E359" s="12" t="s">
        <v>17</v>
      </c>
      <c r="F359">
        <v>2024</v>
      </c>
      <c r="G359" t="s">
        <v>1746</v>
      </c>
      <c r="H359" t="s">
        <v>1747</v>
      </c>
      <c r="I359" t="s">
        <v>1748</v>
      </c>
      <c r="J359" s="12" t="s">
        <v>1062</v>
      </c>
    </row>
    <row r="360" spans="1:10">
      <c r="A360">
        <v>8</v>
      </c>
      <c r="B360">
        <v>303</v>
      </c>
      <c r="C360" t="s">
        <v>1749</v>
      </c>
      <c r="D360">
        <v>31</v>
      </c>
      <c r="E360" s="12" t="s">
        <v>17</v>
      </c>
      <c r="F360">
        <v>2024</v>
      </c>
      <c r="G360" t="s">
        <v>1750</v>
      </c>
      <c r="H360" t="s">
        <v>1751</v>
      </c>
      <c r="I360" t="s">
        <v>1752</v>
      </c>
      <c r="J360" s="12" t="s">
        <v>1062</v>
      </c>
    </row>
    <row r="361" spans="1:10">
      <c r="A361">
        <v>9</v>
      </c>
      <c r="B361">
        <v>304</v>
      </c>
      <c r="C361" t="s">
        <v>1753</v>
      </c>
      <c r="D361">
        <v>31</v>
      </c>
      <c r="E361" s="12" t="s">
        <v>17</v>
      </c>
      <c r="F361">
        <v>2024</v>
      </c>
      <c r="G361" t="s">
        <v>1754</v>
      </c>
      <c r="H361" t="s">
        <v>1755</v>
      </c>
      <c r="I361" t="s">
        <v>1756</v>
      </c>
      <c r="J361" s="12" t="s">
        <v>1062</v>
      </c>
    </row>
    <row r="362" spans="1:10">
      <c r="A362">
        <v>10</v>
      </c>
      <c r="B362">
        <v>305</v>
      </c>
      <c r="C362" t="s">
        <v>1757</v>
      </c>
      <c r="D362">
        <v>31</v>
      </c>
      <c r="E362" s="12" t="s">
        <v>17</v>
      </c>
      <c r="F362">
        <v>2024</v>
      </c>
      <c r="G362" t="s">
        <v>1758</v>
      </c>
      <c r="H362" t="s">
        <v>1759</v>
      </c>
      <c r="I362" t="s">
        <v>1760</v>
      </c>
      <c r="J362" s="12" t="s">
        <v>1062</v>
      </c>
    </row>
    <row r="363" spans="1:10">
      <c r="A363">
        <v>11</v>
      </c>
      <c r="B363">
        <v>306</v>
      </c>
      <c r="C363" t="s">
        <v>1761</v>
      </c>
      <c r="D363">
        <v>31</v>
      </c>
      <c r="E363" s="12" t="s">
        <v>17</v>
      </c>
      <c r="F363">
        <v>2024</v>
      </c>
      <c r="G363" t="s">
        <v>1758</v>
      </c>
      <c r="H363" t="s">
        <v>1759</v>
      </c>
      <c r="I363" t="s">
        <v>1762</v>
      </c>
      <c r="J363" s="12" t="s">
        <v>1062</v>
      </c>
    </row>
    <row r="364" spans="1:10">
      <c r="A364">
        <v>12</v>
      </c>
      <c r="B364">
        <v>307</v>
      </c>
      <c r="C364" t="s">
        <v>1763</v>
      </c>
      <c r="D364">
        <v>31</v>
      </c>
      <c r="E364" s="12" t="s">
        <v>17</v>
      </c>
      <c r="F364">
        <v>2024</v>
      </c>
      <c r="G364" t="s">
        <v>1764</v>
      </c>
      <c r="H364" t="s">
        <v>1765</v>
      </c>
      <c r="I364" t="s">
        <v>1766</v>
      </c>
      <c r="J364" s="12" t="s">
        <v>1062</v>
      </c>
    </row>
    <row r="365" spans="1:10">
      <c r="A365">
        <v>13</v>
      </c>
      <c r="B365">
        <v>308</v>
      </c>
      <c r="C365" t="s">
        <v>1767</v>
      </c>
      <c r="D365">
        <v>31</v>
      </c>
      <c r="E365" s="12" t="s">
        <v>17</v>
      </c>
      <c r="F365">
        <v>2024</v>
      </c>
      <c r="G365" t="s">
        <v>1768</v>
      </c>
      <c r="H365" t="s">
        <v>1769</v>
      </c>
      <c r="I365" t="s">
        <v>1770</v>
      </c>
      <c r="J365" s="12" t="s">
        <v>1062</v>
      </c>
    </row>
    <row r="366" spans="1:10">
      <c r="A366">
        <v>14</v>
      </c>
      <c r="B366">
        <v>309</v>
      </c>
      <c r="C366" t="s">
        <v>1771</v>
      </c>
      <c r="D366">
        <v>31</v>
      </c>
      <c r="E366" s="12" t="s">
        <v>17</v>
      </c>
      <c r="F366">
        <v>2024</v>
      </c>
      <c r="G366" t="s">
        <v>1758</v>
      </c>
      <c r="H366" t="s">
        <v>1759</v>
      </c>
      <c r="I366" t="s">
        <v>1772</v>
      </c>
      <c r="J366" s="12" t="s">
        <v>1062</v>
      </c>
    </row>
    <row r="367" spans="1:10">
      <c r="A367">
        <v>15</v>
      </c>
      <c r="B367">
        <v>310</v>
      </c>
      <c r="C367" t="s">
        <v>1773</v>
      </c>
      <c r="D367">
        <v>31</v>
      </c>
      <c r="E367" s="12" t="s">
        <v>17</v>
      </c>
      <c r="F367">
        <v>2024</v>
      </c>
      <c r="G367" t="s">
        <v>1774</v>
      </c>
      <c r="H367" t="s">
        <v>1775</v>
      </c>
      <c r="I367" t="s">
        <v>1776</v>
      </c>
      <c r="J367" s="12" t="s">
        <v>1062</v>
      </c>
    </row>
    <row r="368" spans="1:10">
      <c r="A368">
        <v>16</v>
      </c>
      <c r="B368">
        <v>311</v>
      </c>
      <c r="C368" t="s">
        <v>2340</v>
      </c>
      <c r="D368">
        <v>31</v>
      </c>
      <c r="E368" s="12" t="s">
        <v>17</v>
      </c>
      <c r="F368">
        <v>2024</v>
      </c>
      <c r="G368" t="s">
        <v>2339</v>
      </c>
      <c r="H368" t="s">
        <v>1777</v>
      </c>
      <c r="I368" t="s">
        <v>1778</v>
      </c>
      <c r="J368" s="12" t="s">
        <v>1062</v>
      </c>
    </row>
    <row r="369" spans="1:11">
      <c r="A369">
        <v>17</v>
      </c>
      <c r="B369">
        <v>312</v>
      </c>
      <c r="C369" t="s">
        <v>1779</v>
      </c>
      <c r="D369">
        <v>31</v>
      </c>
      <c r="E369" s="12" t="s">
        <v>17</v>
      </c>
      <c r="F369">
        <v>2024</v>
      </c>
      <c r="G369" t="s">
        <v>1780</v>
      </c>
      <c r="H369" t="s">
        <v>1781</v>
      </c>
      <c r="I369" t="s">
        <v>1782</v>
      </c>
      <c r="J369" s="12" t="s">
        <v>1062</v>
      </c>
    </row>
    <row r="370" spans="1:11">
      <c r="A370">
        <v>18</v>
      </c>
      <c r="B370">
        <v>313</v>
      </c>
      <c r="C370" t="s">
        <v>1783</v>
      </c>
      <c r="D370">
        <v>31</v>
      </c>
      <c r="E370" s="12" t="s">
        <v>17</v>
      </c>
      <c r="F370">
        <v>2024</v>
      </c>
      <c r="G370" t="s">
        <v>1784</v>
      </c>
      <c r="H370" t="s">
        <v>559</v>
      </c>
      <c r="I370" t="s">
        <v>1785</v>
      </c>
      <c r="J370" s="12" t="s">
        <v>1062</v>
      </c>
    </row>
    <row r="371" spans="1:11">
      <c r="A371">
        <v>19</v>
      </c>
      <c r="B371">
        <v>314</v>
      </c>
      <c r="C371" t="s">
        <v>1786</v>
      </c>
      <c r="D371">
        <v>31</v>
      </c>
      <c r="E371" s="12" t="s">
        <v>17</v>
      </c>
      <c r="F371">
        <v>2024</v>
      </c>
      <c r="G371" t="s">
        <v>1787</v>
      </c>
      <c r="H371" t="s">
        <v>1788</v>
      </c>
      <c r="I371" t="s">
        <v>1789</v>
      </c>
      <c r="J371" s="12" t="s">
        <v>1062</v>
      </c>
    </row>
    <row r="372" spans="1:11">
      <c r="E372" s="12"/>
      <c r="J372" s="12"/>
    </row>
    <row r="373" spans="1:11" ht="18">
      <c r="C373" s="77" t="s">
        <v>1929</v>
      </c>
      <c r="E373" s="12"/>
      <c r="J373" s="12"/>
    </row>
    <row r="374" spans="1:11">
      <c r="C374" s="10" t="s">
        <v>25</v>
      </c>
      <c r="D374" s="97" t="s">
        <v>10</v>
      </c>
      <c r="E374" s="97" t="s">
        <v>11</v>
      </c>
      <c r="F374" s="97" t="s">
        <v>12</v>
      </c>
      <c r="G374" s="2" t="s">
        <v>27</v>
      </c>
      <c r="H374" s="2" t="s">
        <v>26</v>
      </c>
      <c r="I374" s="2" t="s">
        <v>28</v>
      </c>
      <c r="J374" s="2" t="s">
        <v>9</v>
      </c>
      <c r="K374" s="64"/>
    </row>
    <row r="375" spans="1:11">
      <c r="A375">
        <v>1</v>
      </c>
      <c r="B375">
        <v>315</v>
      </c>
      <c r="C375" t="s">
        <v>1793</v>
      </c>
      <c r="D375">
        <v>1</v>
      </c>
      <c r="E375" s="12" t="s">
        <v>18</v>
      </c>
      <c r="F375">
        <v>2024</v>
      </c>
      <c r="G375" t="s">
        <v>1791</v>
      </c>
      <c r="H375" t="s">
        <v>1790</v>
      </c>
      <c r="I375" t="s">
        <v>1792</v>
      </c>
      <c r="J375" s="12" t="s">
        <v>1062</v>
      </c>
    </row>
    <row r="376" spans="1:11">
      <c r="A376">
        <v>2</v>
      </c>
      <c r="B376">
        <v>316</v>
      </c>
      <c r="C376" t="s">
        <v>1859</v>
      </c>
      <c r="D376">
        <v>1</v>
      </c>
      <c r="E376" s="12" t="s">
        <v>18</v>
      </c>
      <c r="F376">
        <v>2024</v>
      </c>
      <c r="G376" t="s">
        <v>1794</v>
      </c>
      <c r="H376" t="s">
        <v>1795</v>
      </c>
      <c r="I376" t="s">
        <v>1796</v>
      </c>
      <c r="J376" s="12" t="s">
        <v>1062</v>
      </c>
    </row>
    <row r="377" spans="1:11">
      <c r="A377">
        <v>3</v>
      </c>
      <c r="B377">
        <v>317</v>
      </c>
      <c r="C377" t="s">
        <v>1797</v>
      </c>
      <c r="D377">
        <v>1</v>
      </c>
      <c r="E377" s="12" t="s">
        <v>18</v>
      </c>
      <c r="F377">
        <v>2024</v>
      </c>
      <c r="H377" t="s">
        <v>1858</v>
      </c>
      <c r="I377" t="s">
        <v>1798</v>
      </c>
      <c r="J377" s="12" t="s">
        <v>1062</v>
      </c>
    </row>
    <row r="378" spans="1:11">
      <c r="A378">
        <v>4</v>
      </c>
      <c r="B378">
        <v>318</v>
      </c>
      <c r="C378" t="s">
        <v>1799</v>
      </c>
      <c r="D378">
        <v>1</v>
      </c>
      <c r="E378" s="12" t="s">
        <v>18</v>
      </c>
      <c r="F378">
        <v>2024</v>
      </c>
      <c r="G378" t="s">
        <v>1791</v>
      </c>
      <c r="H378" t="s">
        <v>1790</v>
      </c>
      <c r="I378" t="s">
        <v>1800</v>
      </c>
      <c r="J378" s="12" t="s">
        <v>1062</v>
      </c>
    </row>
    <row r="379" spans="1:11">
      <c r="A379">
        <v>5</v>
      </c>
      <c r="B379">
        <v>319</v>
      </c>
      <c r="C379" t="s">
        <v>1801</v>
      </c>
      <c r="D379">
        <v>1</v>
      </c>
      <c r="E379" s="12" t="s">
        <v>18</v>
      </c>
      <c r="F379">
        <v>2024</v>
      </c>
      <c r="G379" t="s">
        <v>1802</v>
      </c>
      <c r="H379" t="s">
        <v>1803</v>
      </c>
      <c r="I379" t="s">
        <v>1804</v>
      </c>
      <c r="J379" s="12" t="s">
        <v>1062</v>
      </c>
    </row>
    <row r="380" spans="1:11">
      <c r="A380">
        <v>6</v>
      </c>
      <c r="B380">
        <v>320</v>
      </c>
      <c r="C380" t="s">
        <v>1805</v>
      </c>
      <c r="D380">
        <v>1</v>
      </c>
      <c r="E380" s="12" t="s">
        <v>18</v>
      </c>
      <c r="F380">
        <v>2024</v>
      </c>
      <c r="G380" t="s">
        <v>1860</v>
      </c>
      <c r="H380" t="s">
        <v>1806</v>
      </c>
      <c r="I380" t="s">
        <v>1807</v>
      </c>
      <c r="J380" s="12" t="s">
        <v>1062</v>
      </c>
    </row>
    <row r="381" spans="1:11">
      <c r="A381">
        <v>7</v>
      </c>
      <c r="B381">
        <v>321</v>
      </c>
      <c r="C381" t="s">
        <v>1808</v>
      </c>
      <c r="D381">
        <v>1</v>
      </c>
      <c r="E381" s="12" t="s">
        <v>18</v>
      </c>
      <c r="F381">
        <v>2024</v>
      </c>
      <c r="G381" t="s">
        <v>1809</v>
      </c>
      <c r="H381" t="s">
        <v>1810</v>
      </c>
      <c r="I381" t="s">
        <v>1811</v>
      </c>
      <c r="J381" s="12" t="s">
        <v>1062</v>
      </c>
    </row>
    <row r="382" spans="1:11">
      <c r="A382">
        <v>8</v>
      </c>
      <c r="B382">
        <v>322</v>
      </c>
      <c r="C382" t="s">
        <v>1812</v>
      </c>
      <c r="D382">
        <v>1</v>
      </c>
      <c r="E382" s="12" t="s">
        <v>18</v>
      </c>
      <c r="F382">
        <v>2024</v>
      </c>
      <c r="G382" t="s">
        <v>1809</v>
      </c>
      <c r="H382" t="s">
        <v>1810</v>
      </c>
      <c r="I382" t="s">
        <v>1813</v>
      </c>
      <c r="J382" s="12" t="s">
        <v>1062</v>
      </c>
    </row>
    <row r="383" spans="1:11">
      <c r="A383">
        <v>9</v>
      </c>
      <c r="B383">
        <v>323</v>
      </c>
      <c r="C383" t="s">
        <v>1814</v>
      </c>
      <c r="D383">
        <v>1</v>
      </c>
      <c r="E383" s="12" t="s">
        <v>18</v>
      </c>
      <c r="F383">
        <v>2024</v>
      </c>
      <c r="G383" t="s">
        <v>1815</v>
      </c>
      <c r="H383" t="s">
        <v>1816</v>
      </c>
      <c r="I383" t="s">
        <v>1817</v>
      </c>
      <c r="J383" s="12" t="s">
        <v>1062</v>
      </c>
    </row>
    <row r="384" spans="1:11">
      <c r="A384">
        <v>10</v>
      </c>
      <c r="B384">
        <v>324</v>
      </c>
      <c r="C384" t="s">
        <v>1818</v>
      </c>
      <c r="D384">
        <v>1</v>
      </c>
      <c r="E384" s="12" t="s">
        <v>18</v>
      </c>
      <c r="F384">
        <v>2024</v>
      </c>
      <c r="G384" t="s">
        <v>1819</v>
      </c>
      <c r="H384" t="s">
        <v>1820</v>
      </c>
      <c r="I384" t="s">
        <v>1821</v>
      </c>
      <c r="J384" s="12" t="s">
        <v>1062</v>
      </c>
    </row>
    <row r="385" spans="1:11">
      <c r="A385">
        <v>11</v>
      </c>
      <c r="B385">
        <v>325</v>
      </c>
      <c r="C385" t="s">
        <v>1822</v>
      </c>
      <c r="D385">
        <v>1</v>
      </c>
      <c r="E385" s="12" t="s">
        <v>18</v>
      </c>
      <c r="F385">
        <v>2024</v>
      </c>
      <c r="G385" t="s">
        <v>1823</v>
      </c>
      <c r="H385" t="s">
        <v>1824</v>
      </c>
      <c r="I385" t="s">
        <v>1825</v>
      </c>
      <c r="J385" s="12" t="s">
        <v>1062</v>
      </c>
    </row>
    <row r="386" spans="1:11">
      <c r="A386">
        <v>12</v>
      </c>
      <c r="B386">
        <v>326</v>
      </c>
      <c r="C386" t="s">
        <v>1826</v>
      </c>
      <c r="D386">
        <v>1</v>
      </c>
      <c r="E386" s="12" t="s">
        <v>18</v>
      </c>
      <c r="F386">
        <v>2024</v>
      </c>
      <c r="G386" t="s">
        <v>1827</v>
      </c>
      <c r="H386" t="s">
        <v>1828</v>
      </c>
      <c r="I386" t="s">
        <v>1829</v>
      </c>
      <c r="J386" s="12" t="s">
        <v>1062</v>
      </c>
    </row>
    <row r="387" spans="1:11">
      <c r="A387">
        <v>13</v>
      </c>
      <c r="B387">
        <v>327</v>
      </c>
      <c r="C387" t="s">
        <v>1830</v>
      </c>
      <c r="D387">
        <v>1</v>
      </c>
      <c r="E387" s="12" t="s">
        <v>18</v>
      </c>
      <c r="F387">
        <v>2024</v>
      </c>
      <c r="G387" t="s">
        <v>1831</v>
      </c>
      <c r="H387" t="s">
        <v>1832</v>
      </c>
      <c r="I387" t="s">
        <v>1833</v>
      </c>
      <c r="J387" s="12" t="s">
        <v>1062</v>
      </c>
    </row>
    <row r="388" spans="1:11">
      <c r="A388">
        <v>14</v>
      </c>
      <c r="B388">
        <v>328</v>
      </c>
      <c r="C388" t="s">
        <v>1834</v>
      </c>
      <c r="D388">
        <v>1</v>
      </c>
      <c r="E388" s="12" t="s">
        <v>18</v>
      </c>
      <c r="F388">
        <v>2024</v>
      </c>
      <c r="G388" t="s">
        <v>1835</v>
      </c>
      <c r="H388" t="s">
        <v>1836</v>
      </c>
      <c r="I388" t="s">
        <v>1837</v>
      </c>
      <c r="J388" s="12" t="s">
        <v>1062</v>
      </c>
    </row>
    <row r="389" spans="1:11">
      <c r="A389">
        <v>15</v>
      </c>
      <c r="B389">
        <v>329</v>
      </c>
      <c r="C389" t="s">
        <v>1838</v>
      </c>
      <c r="D389">
        <v>1</v>
      </c>
      <c r="E389" s="12" t="s">
        <v>18</v>
      </c>
      <c r="F389">
        <v>2024</v>
      </c>
      <c r="G389" t="s">
        <v>1839</v>
      </c>
      <c r="H389" t="s">
        <v>1840</v>
      </c>
      <c r="I389" t="s">
        <v>1861</v>
      </c>
      <c r="J389" s="12" t="s">
        <v>1062</v>
      </c>
    </row>
    <row r="390" spans="1:11">
      <c r="A390">
        <v>16</v>
      </c>
      <c r="B390">
        <v>330</v>
      </c>
      <c r="C390" t="s">
        <v>1854</v>
      </c>
      <c r="D390">
        <v>1</v>
      </c>
      <c r="E390" s="12" t="s">
        <v>18</v>
      </c>
      <c r="F390">
        <v>2024</v>
      </c>
      <c r="G390" t="s">
        <v>1855</v>
      </c>
      <c r="H390" t="s">
        <v>1856</v>
      </c>
      <c r="I390" t="s">
        <v>1857</v>
      </c>
      <c r="J390" s="12" t="s">
        <v>1062</v>
      </c>
    </row>
    <row r="391" spans="1:11">
      <c r="A391">
        <v>17</v>
      </c>
      <c r="B391">
        <v>331</v>
      </c>
      <c r="C391" t="s">
        <v>1841</v>
      </c>
      <c r="D391">
        <v>1</v>
      </c>
      <c r="E391" s="12" t="s">
        <v>18</v>
      </c>
      <c r="F391">
        <v>2024</v>
      </c>
      <c r="G391" t="s">
        <v>1842</v>
      </c>
      <c r="H391" t="s">
        <v>1843</v>
      </c>
      <c r="I391" t="s">
        <v>1667</v>
      </c>
      <c r="J391" s="12" t="s">
        <v>1062</v>
      </c>
    </row>
    <row r="392" spans="1:11">
      <c r="A392">
        <v>18</v>
      </c>
      <c r="B392">
        <v>332</v>
      </c>
      <c r="C392" t="s">
        <v>1844</v>
      </c>
      <c r="D392">
        <v>1</v>
      </c>
      <c r="E392" s="12" t="s">
        <v>18</v>
      </c>
      <c r="F392">
        <v>2024</v>
      </c>
      <c r="G392" t="s">
        <v>1809</v>
      </c>
      <c r="H392" t="s">
        <v>1810</v>
      </c>
      <c r="I392" t="s">
        <v>1845</v>
      </c>
      <c r="J392" s="12" t="s">
        <v>1062</v>
      </c>
    </row>
    <row r="393" spans="1:11">
      <c r="A393">
        <v>19</v>
      </c>
      <c r="B393">
        <v>333</v>
      </c>
      <c r="C393" t="s">
        <v>1846</v>
      </c>
      <c r="D393">
        <v>1</v>
      </c>
      <c r="E393" s="12" t="s">
        <v>18</v>
      </c>
      <c r="F393">
        <v>2024</v>
      </c>
      <c r="G393" t="s">
        <v>1847</v>
      </c>
      <c r="H393" t="s">
        <v>1848</v>
      </c>
      <c r="I393" t="s">
        <v>1849</v>
      </c>
      <c r="J393" s="12" t="s">
        <v>1062</v>
      </c>
    </row>
    <row r="394" spans="1:11">
      <c r="A394">
        <v>20</v>
      </c>
      <c r="B394">
        <v>334</v>
      </c>
      <c r="C394" t="s">
        <v>1850</v>
      </c>
      <c r="D394">
        <v>1</v>
      </c>
      <c r="E394" s="12" t="s">
        <v>18</v>
      </c>
      <c r="F394">
        <v>2024</v>
      </c>
      <c r="G394" t="s">
        <v>1851</v>
      </c>
      <c r="H394" t="s">
        <v>1852</v>
      </c>
      <c r="I394" t="s">
        <v>1853</v>
      </c>
      <c r="J394" s="12" t="s">
        <v>1062</v>
      </c>
    </row>
    <row r="396" spans="1:11" ht="18">
      <c r="C396" s="77" t="s">
        <v>1930</v>
      </c>
      <c r="E396" s="12"/>
      <c r="J396" s="12"/>
    </row>
    <row r="397" spans="1:11">
      <c r="C397" s="10" t="s">
        <v>25</v>
      </c>
      <c r="D397" s="98" t="s">
        <v>10</v>
      </c>
      <c r="E397" s="98" t="s">
        <v>11</v>
      </c>
      <c r="F397" s="98" t="s">
        <v>12</v>
      </c>
      <c r="G397" s="2" t="s">
        <v>27</v>
      </c>
      <c r="H397" s="2" t="s">
        <v>26</v>
      </c>
      <c r="I397" s="2" t="s">
        <v>28</v>
      </c>
      <c r="J397" s="2" t="s">
        <v>9</v>
      </c>
      <c r="K397" s="64"/>
    </row>
    <row r="398" spans="1:11">
      <c r="A398">
        <v>1</v>
      </c>
      <c r="B398">
        <v>335</v>
      </c>
      <c r="C398" s="99" t="s">
        <v>1862</v>
      </c>
      <c r="D398">
        <v>1</v>
      </c>
      <c r="E398" s="12" t="s">
        <v>18</v>
      </c>
      <c r="F398">
        <v>2024</v>
      </c>
      <c r="G398" s="100" t="s">
        <v>1878</v>
      </c>
      <c r="H398" s="100" t="s">
        <v>1879</v>
      </c>
      <c r="I398" s="100" t="s">
        <v>1880</v>
      </c>
      <c r="J398" s="12" t="s">
        <v>1062</v>
      </c>
    </row>
    <row r="399" spans="1:11">
      <c r="A399">
        <v>2</v>
      </c>
      <c r="B399">
        <v>336</v>
      </c>
      <c r="C399" s="99" t="s">
        <v>1863</v>
      </c>
      <c r="D399">
        <v>1</v>
      </c>
      <c r="E399" s="12" t="s">
        <v>18</v>
      </c>
      <c r="F399">
        <v>2024</v>
      </c>
      <c r="G399" s="101" t="s">
        <v>1881</v>
      </c>
      <c r="H399" s="101" t="s">
        <v>1882</v>
      </c>
      <c r="I399" s="101" t="s">
        <v>1883</v>
      </c>
      <c r="J399" s="12" t="s">
        <v>1062</v>
      </c>
    </row>
    <row r="400" spans="1:11">
      <c r="A400">
        <v>3</v>
      </c>
      <c r="B400">
        <v>337</v>
      </c>
      <c r="C400" s="99" t="s">
        <v>1864</v>
      </c>
      <c r="D400">
        <v>1</v>
      </c>
      <c r="E400" s="12" t="s">
        <v>18</v>
      </c>
      <c r="F400">
        <v>2024</v>
      </c>
      <c r="G400" s="101" t="s">
        <v>1884</v>
      </c>
      <c r="H400" s="101" t="s">
        <v>1885</v>
      </c>
      <c r="I400" s="101" t="s">
        <v>1886</v>
      </c>
      <c r="J400" s="12" t="s">
        <v>1062</v>
      </c>
    </row>
    <row r="401" spans="1:10">
      <c r="A401">
        <v>4</v>
      </c>
      <c r="B401">
        <v>338</v>
      </c>
      <c r="C401" s="99" t="s">
        <v>1865</v>
      </c>
      <c r="D401">
        <v>1</v>
      </c>
      <c r="E401" s="12" t="s">
        <v>18</v>
      </c>
      <c r="F401">
        <v>2024</v>
      </c>
      <c r="G401" s="101" t="s">
        <v>1802</v>
      </c>
      <c r="H401" s="101" t="s">
        <v>1803</v>
      </c>
      <c r="I401" s="101" t="s">
        <v>1887</v>
      </c>
      <c r="J401" s="12" t="s">
        <v>1062</v>
      </c>
    </row>
    <row r="402" spans="1:10">
      <c r="A402">
        <v>5</v>
      </c>
      <c r="B402">
        <v>339</v>
      </c>
      <c r="C402" s="99" t="s">
        <v>1866</v>
      </c>
      <c r="D402">
        <v>1</v>
      </c>
      <c r="E402" s="12" t="s">
        <v>18</v>
      </c>
      <c r="F402">
        <v>2024</v>
      </c>
      <c r="G402" s="101" t="s">
        <v>388</v>
      </c>
      <c r="H402" s="101" t="s">
        <v>1888</v>
      </c>
      <c r="I402" s="101" t="s">
        <v>1933</v>
      </c>
      <c r="J402" s="12" t="s">
        <v>1062</v>
      </c>
    </row>
    <row r="403" spans="1:10">
      <c r="A403">
        <v>6</v>
      </c>
      <c r="B403">
        <v>340</v>
      </c>
      <c r="C403" s="99" t="s">
        <v>1867</v>
      </c>
      <c r="D403">
        <v>1</v>
      </c>
      <c r="E403" s="12" t="s">
        <v>18</v>
      </c>
      <c r="F403">
        <v>2024</v>
      </c>
      <c r="G403" s="101" t="s">
        <v>1889</v>
      </c>
      <c r="H403" s="101" t="s">
        <v>1890</v>
      </c>
      <c r="I403" s="101" t="s">
        <v>1891</v>
      </c>
      <c r="J403" s="12" t="s">
        <v>1062</v>
      </c>
    </row>
    <row r="404" spans="1:10">
      <c r="A404">
        <v>7</v>
      </c>
      <c r="B404">
        <v>341</v>
      </c>
      <c r="C404" s="99" t="s">
        <v>1868</v>
      </c>
      <c r="D404">
        <v>1</v>
      </c>
      <c r="E404" s="12" t="s">
        <v>18</v>
      </c>
      <c r="F404">
        <v>2024</v>
      </c>
      <c r="G404" s="101" t="s">
        <v>1932</v>
      </c>
      <c r="H404" s="101" t="s">
        <v>395</v>
      </c>
      <c r="I404" s="101" t="s">
        <v>1892</v>
      </c>
      <c r="J404" s="12" t="s">
        <v>1062</v>
      </c>
    </row>
    <row r="405" spans="1:10">
      <c r="A405">
        <v>8</v>
      </c>
      <c r="B405">
        <v>342</v>
      </c>
      <c r="C405" s="99" t="s">
        <v>1869</v>
      </c>
      <c r="D405">
        <v>1</v>
      </c>
      <c r="E405" s="12" t="s">
        <v>18</v>
      </c>
      <c r="F405">
        <v>2024</v>
      </c>
      <c r="G405" s="101" t="s">
        <v>1893</v>
      </c>
      <c r="H405" s="101" t="s">
        <v>1894</v>
      </c>
      <c r="I405" s="101" t="s">
        <v>1895</v>
      </c>
      <c r="J405" s="12" t="s">
        <v>1062</v>
      </c>
    </row>
    <row r="406" spans="1:10">
      <c r="A406">
        <v>9</v>
      </c>
      <c r="B406">
        <v>343</v>
      </c>
      <c r="C406" s="99" t="s">
        <v>1870</v>
      </c>
      <c r="D406">
        <v>1</v>
      </c>
      <c r="E406" s="12" t="s">
        <v>18</v>
      </c>
      <c r="F406">
        <v>2024</v>
      </c>
      <c r="G406" s="101" t="s">
        <v>1896</v>
      </c>
      <c r="H406" s="101" t="s">
        <v>1897</v>
      </c>
      <c r="I406" s="101" t="s">
        <v>1898</v>
      </c>
      <c r="J406" s="12" t="s">
        <v>1062</v>
      </c>
    </row>
    <row r="407" spans="1:10">
      <c r="A407">
        <v>10</v>
      </c>
      <c r="B407">
        <v>344</v>
      </c>
      <c r="C407" s="99" t="s">
        <v>1871</v>
      </c>
      <c r="D407">
        <v>1</v>
      </c>
      <c r="E407" s="12" t="s">
        <v>18</v>
      </c>
      <c r="F407">
        <v>2024</v>
      </c>
      <c r="G407" s="101" t="s">
        <v>1899</v>
      </c>
      <c r="H407" s="101" t="s">
        <v>1900</v>
      </c>
      <c r="I407" s="101" t="s">
        <v>1901</v>
      </c>
      <c r="J407" s="12" t="s">
        <v>1062</v>
      </c>
    </row>
    <row r="408" spans="1:10">
      <c r="A408">
        <v>11</v>
      </c>
      <c r="B408">
        <v>345</v>
      </c>
      <c r="C408" s="99" t="s">
        <v>1872</v>
      </c>
      <c r="D408">
        <v>1</v>
      </c>
      <c r="E408" s="12" t="s">
        <v>18</v>
      </c>
      <c r="F408">
        <v>2024</v>
      </c>
      <c r="G408" s="101" t="s">
        <v>1902</v>
      </c>
      <c r="H408" s="101" t="s">
        <v>1903</v>
      </c>
      <c r="I408" s="101" t="s">
        <v>1904</v>
      </c>
      <c r="J408" s="12" t="s">
        <v>1062</v>
      </c>
    </row>
    <row r="409" spans="1:10">
      <c r="A409">
        <v>12</v>
      </c>
      <c r="B409">
        <v>346</v>
      </c>
      <c r="C409" s="99" t="s">
        <v>1873</v>
      </c>
      <c r="D409">
        <v>1</v>
      </c>
      <c r="E409" s="12" t="s">
        <v>18</v>
      </c>
      <c r="F409">
        <v>2024</v>
      </c>
      <c r="G409" s="101" t="s">
        <v>1905</v>
      </c>
      <c r="H409" s="101" t="s">
        <v>1906</v>
      </c>
      <c r="I409" s="101" t="s">
        <v>1907</v>
      </c>
      <c r="J409" s="12" t="s">
        <v>1062</v>
      </c>
    </row>
    <row r="410" spans="1:10">
      <c r="A410">
        <v>13</v>
      </c>
      <c r="B410">
        <v>347</v>
      </c>
      <c r="C410" s="99" t="s">
        <v>1874</v>
      </c>
      <c r="D410">
        <v>1</v>
      </c>
      <c r="E410" s="12" t="s">
        <v>18</v>
      </c>
      <c r="F410">
        <v>2024</v>
      </c>
      <c r="G410" s="101" t="s">
        <v>1908</v>
      </c>
      <c r="H410" s="101" t="s">
        <v>1909</v>
      </c>
      <c r="I410" s="101" t="s">
        <v>1910</v>
      </c>
      <c r="J410" s="12" t="s">
        <v>1062</v>
      </c>
    </row>
    <row r="411" spans="1:10">
      <c r="A411">
        <v>14</v>
      </c>
      <c r="B411">
        <v>348</v>
      </c>
      <c r="C411" s="99" t="s">
        <v>2153</v>
      </c>
      <c r="D411">
        <v>1</v>
      </c>
      <c r="E411" s="12" t="s">
        <v>18</v>
      </c>
      <c r="F411">
        <v>2024</v>
      </c>
      <c r="G411" s="101" t="s">
        <v>997</v>
      </c>
      <c r="H411" s="101" t="s">
        <v>998</v>
      </c>
      <c r="I411" s="101" t="s">
        <v>857</v>
      </c>
      <c r="J411" s="12" t="s">
        <v>1062</v>
      </c>
    </row>
    <row r="412" spans="1:10">
      <c r="A412">
        <v>15</v>
      </c>
      <c r="B412">
        <v>349</v>
      </c>
      <c r="C412" s="99" t="s">
        <v>1875</v>
      </c>
      <c r="D412">
        <v>1</v>
      </c>
      <c r="E412" s="12" t="s">
        <v>18</v>
      </c>
      <c r="F412">
        <v>2024</v>
      </c>
      <c r="G412" s="101" t="s">
        <v>1911</v>
      </c>
      <c r="H412" s="101" t="s">
        <v>1912</v>
      </c>
      <c r="I412" s="101" t="s">
        <v>1913</v>
      </c>
      <c r="J412" s="12" t="s">
        <v>1062</v>
      </c>
    </row>
    <row r="413" spans="1:10">
      <c r="A413">
        <v>16</v>
      </c>
      <c r="B413">
        <v>350</v>
      </c>
      <c r="C413" s="99" t="s">
        <v>1931</v>
      </c>
      <c r="D413">
        <v>1</v>
      </c>
      <c r="E413" s="12" t="s">
        <v>18</v>
      </c>
      <c r="F413">
        <v>2024</v>
      </c>
      <c r="G413" s="101" t="s">
        <v>1914</v>
      </c>
      <c r="H413" s="101" t="s">
        <v>1915</v>
      </c>
      <c r="I413" s="101" t="s">
        <v>1916</v>
      </c>
      <c r="J413" s="12" t="s">
        <v>1062</v>
      </c>
    </row>
    <row r="414" spans="1:10">
      <c r="A414">
        <v>17</v>
      </c>
      <c r="B414">
        <v>351</v>
      </c>
      <c r="C414" s="99" t="s">
        <v>1876</v>
      </c>
      <c r="D414">
        <v>1</v>
      </c>
      <c r="E414" s="12" t="s">
        <v>18</v>
      </c>
      <c r="F414">
        <v>2024</v>
      </c>
      <c r="G414" s="101" t="s">
        <v>1917</v>
      </c>
      <c r="H414" s="101" t="s">
        <v>1918</v>
      </c>
      <c r="I414" s="101" t="s">
        <v>1919</v>
      </c>
      <c r="J414" s="12" t="s">
        <v>1062</v>
      </c>
    </row>
    <row r="415" spans="1:10">
      <c r="A415">
        <v>18</v>
      </c>
      <c r="B415">
        <v>352</v>
      </c>
      <c r="C415" s="99" t="s">
        <v>1877</v>
      </c>
      <c r="D415">
        <v>1</v>
      </c>
      <c r="E415" s="12" t="s">
        <v>18</v>
      </c>
      <c r="F415">
        <v>2024</v>
      </c>
      <c r="G415" s="102" t="s">
        <v>1920</v>
      </c>
      <c r="H415" s="102" t="s">
        <v>1921</v>
      </c>
      <c r="I415" s="102" t="s">
        <v>1922</v>
      </c>
      <c r="J415" s="12" t="s">
        <v>1062</v>
      </c>
    </row>
    <row r="416" spans="1:10">
      <c r="C416" s="12"/>
      <c r="E416" s="12"/>
      <c r="G416" s="78"/>
      <c r="H416" s="78"/>
      <c r="I416" s="78"/>
    </row>
    <row r="417" spans="1:11">
      <c r="C417" s="12" t="s">
        <v>2375</v>
      </c>
      <c r="E417" s="12"/>
      <c r="J417" s="12"/>
    </row>
    <row r="418" spans="1:11">
      <c r="B418">
        <v>353</v>
      </c>
      <c r="C418" s="111" t="s">
        <v>2376</v>
      </c>
      <c r="D418">
        <v>19</v>
      </c>
      <c r="E418" s="12" t="s">
        <v>1145</v>
      </c>
      <c r="F418">
        <v>2024</v>
      </c>
      <c r="G418" s="12" t="s">
        <v>2377</v>
      </c>
      <c r="H418" s="12" t="s">
        <v>2378</v>
      </c>
      <c r="I418" s="12" t="s">
        <v>2379</v>
      </c>
      <c r="J418" s="12" t="s">
        <v>1062</v>
      </c>
    </row>
    <row r="419" spans="1:11">
      <c r="C419" s="111"/>
      <c r="E419" s="12"/>
      <c r="G419" s="12"/>
      <c r="H419" s="12"/>
      <c r="I419" s="12"/>
      <c r="J419" s="12"/>
    </row>
    <row r="421" spans="1:11" ht="20.25">
      <c r="C421" s="21" t="s">
        <v>3740</v>
      </c>
    </row>
    <row r="422" spans="1:11" ht="18">
      <c r="C422" s="77" t="s">
        <v>2514</v>
      </c>
      <c r="E422" s="12"/>
      <c r="J422" s="12"/>
    </row>
    <row r="423" spans="1:11">
      <c r="C423" s="10" t="s">
        <v>25</v>
      </c>
      <c r="D423" s="112" t="s">
        <v>10</v>
      </c>
      <c r="E423" s="112" t="s">
        <v>11</v>
      </c>
      <c r="F423" s="112" t="s">
        <v>12</v>
      </c>
      <c r="G423" s="2" t="s">
        <v>27</v>
      </c>
      <c r="H423" s="2" t="s">
        <v>26</v>
      </c>
      <c r="I423" s="2" t="s">
        <v>28</v>
      </c>
      <c r="J423" s="2" t="s">
        <v>9</v>
      </c>
      <c r="K423" s="64"/>
    </row>
    <row r="424" spans="1:11">
      <c r="A424">
        <v>1</v>
      </c>
      <c r="B424">
        <v>354</v>
      </c>
      <c r="C424" t="s">
        <v>2515</v>
      </c>
      <c r="D424">
        <v>23</v>
      </c>
      <c r="E424" t="s">
        <v>15</v>
      </c>
      <c r="F424">
        <v>2025</v>
      </c>
      <c r="G424" t="s">
        <v>2516</v>
      </c>
      <c r="H424" t="s">
        <v>2517</v>
      </c>
      <c r="I424" t="s">
        <v>2518</v>
      </c>
      <c r="J424" t="s">
        <v>1062</v>
      </c>
    </row>
    <row r="425" spans="1:11">
      <c r="A425">
        <v>2</v>
      </c>
      <c r="B425">
        <v>355</v>
      </c>
      <c r="C425" s="12" t="s">
        <v>2597</v>
      </c>
      <c r="D425">
        <v>19</v>
      </c>
      <c r="E425" t="s">
        <v>16</v>
      </c>
      <c r="F425">
        <v>2025</v>
      </c>
      <c r="G425" t="s">
        <v>2616</v>
      </c>
      <c r="H425" t="s">
        <v>2617</v>
      </c>
      <c r="I425" s="12" t="s">
        <v>2607</v>
      </c>
      <c r="J425" t="s">
        <v>1062</v>
      </c>
    </row>
    <row r="426" spans="1:11">
      <c r="A426">
        <v>3</v>
      </c>
      <c r="B426">
        <v>356</v>
      </c>
      <c r="C426" s="12" t="s">
        <v>2598</v>
      </c>
      <c r="D426">
        <v>19</v>
      </c>
      <c r="E426" t="s">
        <v>16</v>
      </c>
      <c r="F426">
        <v>2025</v>
      </c>
      <c r="G426" t="s">
        <v>2600</v>
      </c>
      <c r="H426" t="s">
        <v>2601</v>
      </c>
      <c r="I426" s="12" t="s">
        <v>2613</v>
      </c>
      <c r="J426" t="s">
        <v>1062</v>
      </c>
    </row>
    <row r="427" spans="1:11">
      <c r="A427">
        <v>4</v>
      </c>
      <c r="B427">
        <v>357</v>
      </c>
      <c r="C427" s="12" t="s">
        <v>2605</v>
      </c>
      <c r="D427">
        <v>19</v>
      </c>
      <c r="E427" t="s">
        <v>16</v>
      </c>
      <c r="F427">
        <v>2025</v>
      </c>
      <c r="G427" t="s">
        <v>2603</v>
      </c>
      <c r="H427" t="s">
        <v>2604</v>
      </c>
      <c r="I427" s="12" t="s">
        <v>2614</v>
      </c>
      <c r="J427" t="s">
        <v>1062</v>
      </c>
    </row>
    <row r="429" spans="1:11" s="77" customFormat="1" ht="18">
      <c r="C429" s="77" t="s">
        <v>2552</v>
      </c>
    </row>
    <row r="430" spans="1:11">
      <c r="C430" s="10" t="s">
        <v>25</v>
      </c>
      <c r="D430" s="112" t="s">
        <v>10</v>
      </c>
      <c r="E430" s="112" t="s">
        <v>11</v>
      </c>
      <c r="F430" s="112" t="s">
        <v>12</v>
      </c>
      <c r="G430" s="2" t="s">
        <v>27</v>
      </c>
      <c r="H430" s="2" t="s">
        <v>26</v>
      </c>
      <c r="I430" s="2" t="s">
        <v>28</v>
      </c>
      <c r="J430" s="2" t="s">
        <v>9</v>
      </c>
      <c r="K430" s="64"/>
    </row>
    <row r="431" spans="1:11">
      <c r="A431">
        <v>1</v>
      </c>
      <c r="B431">
        <v>358</v>
      </c>
      <c r="C431" s="12" t="s">
        <v>2529</v>
      </c>
      <c r="D431">
        <v>24</v>
      </c>
      <c r="E431" s="12" t="s">
        <v>17</v>
      </c>
      <c r="F431">
        <v>2025</v>
      </c>
      <c r="G431" s="12" t="s">
        <v>1384</v>
      </c>
      <c r="H431" s="12" t="s">
        <v>1385</v>
      </c>
      <c r="I431" s="12" t="s">
        <v>2531</v>
      </c>
      <c r="J431" t="s">
        <v>1062</v>
      </c>
    </row>
    <row r="432" spans="1:11">
      <c r="A432">
        <v>2</v>
      </c>
      <c r="B432">
        <v>359</v>
      </c>
      <c r="C432" s="12" t="s">
        <v>2530</v>
      </c>
      <c r="D432">
        <v>24</v>
      </c>
      <c r="E432" s="12" t="s">
        <v>17</v>
      </c>
      <c r="F432">
        <v>2025</v>
      </c>
      <c r="G432" s="12" t="s">
        <v>2425</v>
      </c>
      <c r="H432" s="12" t="s">
        <v>2532</v>
      </c>
      <c r="I432" s="12" t="s">
        <v>2533</v>
      </c>
      <c r="J432" t="s">
        <v>1062</v>
      </c>
    </row>
    <row r="433" spans="1:10">
      <c r="A433">
        <v>3</v>
      </c>
      <c r="B433">
        <v>360</v>
      </c>
      <c r="C433" s="12" t="s">
        <v>2534</v>
      </c>
      <c r="D433">
        <v>24</v>
      </c>
      <c r="E433" s="12" t="s">
        <v>17</v>
      </c>
      <c r="F433">
        <v>2025</v>
      </c>
      <c r="G433" s="12" t="s">
        <v>2099</v>
      </c>
      <c r="H433" s="12" t="s">
        <v>2100</v>
      </c>
      <c r="I433" s="12" t="s">
        <v>2535</v>
      </c>
      <c r="J433" t="s">
        <v>1062</v>
      </c>
    </row>
    <row r="434" spans="1:10">
      <c r="A434">
        <v>4</v>
      </c>
      <c r="B434">
        <v>361</v>
      </c>
      <c r="C434" s="12" t="s">
        <v>2536</v>
      </c>
      <c r="D434">
        <v>24</v>
      </c>
      <c r="E434" s="12" t="s">
        <v>17</v>
      </c>
      <c r="F434">
        <v>2025</v>
      </c>
      <c r="G434" s="12" t="s">
        <v>2537</v>
      </c>
      <c r="H434" s="12" t="s">
        <v>2538</v>
      </c>
      <c r="I434" s="12" t="s">
        <v>1181</v>
      </c>
      <c r="J434" t="s">
        <v>1062</v>
      </c>
    </row>
    <row r="435" spans="1:10">
      <c r="A435">
        <v>5</v>
      </c>
      <c r="B435">
        <v>362</v>
      </c>
      <c r="C435" s="12" t="s">
        <v>2591</v>
      </c>
      <c r="D435">
        <v>24</v>
      </c>
      <c r="E435" s="12" t="s">
        <v>17</v>
      </c>
      <c r="F435">
        <v>2025</v>
      </c>
      <c r="G435" s="12" t="s">
        <v>162</v>
      </c>
      <c r="H435" s="12" t="s">
        <v>2539</v>
      </c>
      <c r="I435" s="12" t="s">
        <v>161</v>
      </c>
      <c r="J435" t="s">
        <v>1062</v>
      </c>
    </row>
    <row r="436" spans="1:10">
      <c r="A436">
        <v>6</v>
      </c>
      <c r="B436">
        <v>363</v>
      </c>
      <c r="C436" s="12" t="s">
        <v>2540</v>
      </c>
      <c r="D436">
        <v>24</v>
      </c>
      <c r="E436" s="12" t="s">
        <v>17</v>
      </c>
      <c r="F436">
        <v>2025</v>
      </c>
      <c r="G436" s="12" t="s">
        <v>1409</v>
      </c>
      <c r="H436" s="12" t="s">
        <v>1410</v>
      </c>
      <c r="I436" s="12" t="s">
        <v>2541</v>
      </c>
      <c r="J436" t="s">
        <v>1062</v>
      </c>
    </row>
    <row r="437" spans="1:10">
      <c r="A437">
        <v>7</v>
      </c>
      <c r="B437">
        <v>364</v>
      </c>
      <c r="C437" s="12" t="s">
        <v>2542</v>
      </c>
      <c r="D437">
        <v>24</v>
      </c>
      <c r="E437" s="12" t="s">
        <v>17</v>
      </c>
      <c r="F437">
        <v>2025</v>
      </c>
      <c r="G437" s="12" t="s">
        <v>1968</v>
      </c>
      <c r="H437" s="12" t="s">
        <v>1969</v>
      </c>
      <c r="I437" s="12" t="s">
        <v>1970</v>
      </c>
      <c r="J437" t="s">
        <v>1062</v>
      </c>
    </row>
    <row r="438" spans="1:10">
      <c r="A438">
        <v>8</v>
      </c>
      <c r="B438">
        <v>365</v>
      </c>
      <c r="C438" s="12" t="s">
        <v>2543</v>
      </c>
      <c r="D438">
        <v>24</v>
      </c>
      <c r="E438" s="12" t="s">
        <v>17</v>
      </c>
      <c r="F438">
        <v>2025</v>
      </c>
      <c r="G438" s="12" t="s">
        <v>2544</v>
      </c>
      <c r="H438" s="12" t="s">
        <v>2545</v>
      </c>
      <c r="I438" s="12" t="s">
        <v>2546</v>
      </c>
      <c r="J438" t="s">
        <v>1062</v>
      </c>
    </row>
    <row r="439" spans="1:10">
      <c r="A439">
        <v>9</v>
      </c>
      <c r="B439">
        <v>366</v>
      </c>
      <c r="C439" s="12" t="s">
        <v>2547</v>
      </c>
      <c r="D439">
        <v>24</v>
      </c>
      <c r="E439" s="12" t="s">
        <v>17</v>
      </c>
      <c r="F439">
        <v>2025</v>
      </c>
      <c r="G439" s="12" t="s">
        <v>208</v>
      </c>
      <c r="H439" s="12" t="s">
        <v>210</v>
      </c>
      <c r="I439" s="12" t="s">
        <v>2548</v>
      </c>
      <c r="J439" t="s">
        <v>1062</v>
      </c>
    </row>
    <row r="440" spans="1:10">
      <c r="A440">
        <v>10</v>
      </c>
      <c r="B440">
        <v>367</v>
      </c>
      <c r="C440" s="12" t="s">
        <v>2549</v>
      </c>
      <c r="D440">
        <v>24</v>
      </c>
      <c r="E440" s="12" t="s">
        <v>17</v>
      </c>
      <c r="F440">
        <v>2025</v>
      </c>
      <c r="G440" s="12" t="s">
        <v>2550</v>
      </c>
      <c r="H440" s="12" t="s">
        <v>2592</v>
      </c>
      <c r="I440" s="12" t="s">
        <v>2551</v>
      </c>
      <c r="J440" t="s">
        <v>1062</v>
      </c>
    </row>
    <row r="441" spans="1:10">
      <c r="A441">
        <v>11</v>
      </c>
      <c r="B441">
        <v>368</v>
      </c>
      <c r="C441" s="12" t="s">
        <v>2555</v>
      </c>
      <c r="D441">
        <v>24</v>
      </c>
      <c r="E441" s="12" t="s">
        <v>17</v>
      </c>
      <c r="F441" s="12">
        <v>2025</v>
      </c>
      <c r="G441" s="12" t="s">
        <v>2593</v>
      </c>
      <c r="H441" s="12" t="s">
        <v>2594</v>
      </c>
      <c r="I441" s="12" t="s">
        <v>2556</v>
      </c>
      <c r="J441" t="s">
        <v>1062</v>
      </c>
    </row>
    <row r="442" spans="1:10">
      <c r="A442">
        <v>12</v>
      </c>
      <c r="B442">
        <v>369</v>
      </c>
      <c r="C442" s="12" t="s">
        <v>2557</v>
      </c>
      <c r="D442">
        <v>24</v>
      </c>
      <c r="E442" s="12" t="s">
        <v>17</v>
      </c>
      <c r="F442" s="12">
        <v>2025</v>
      </c>
      <c r="G442" s="12" t="s">
        <v>2558</v>
      </c>
      <c r="H442" s="12" t="s">
        <v>2559</v>
      </c>
      <c r="I442" s="12" t="s">
        <v>2560</v>
      </c>
      <c r="J442" t="s">
        <v>1062</v>
      </c>
    </row>
    <row r="443" spans="1:10">
      <c r="A443">
        <v>13</v>
      </c>
      <c r="B443">
        <v>370</v>
      </c>
      <c r="C443" s="12" t="s">
        <v>2595</v>
      </c>
      <c r="D443">
        <v>24</v>
      </c>
      <c r="E443" s="12" t="s">
        <v>17</v>
      </c>
      <c r="F443" s="12">
        <v>2025</v>
      </c>
      <c r="G443" s="12" t="s">
        <v>2553</v>
      </c>
      <c r="H443" s="12" t="s">
        <v>2596</v>
      </c>
      <c r="I443" s="12" t="s">
        <v>2554</v>
      </c>
      <c r="J443" t="s">
        <v>1062</v>
      </c>
    </row>
    <row r="444" spans="1:10">
      <c r="A444">
        <v>14</v>
      </c>
      <c r="B444">
        <v>371</v>
      </c>
      <c r="C444" s="12" t="s">
        <v>2561</v>
      </c>
      <c r="D444">
        <v>24</v>
      </c>
      <c r="E444" s="12" t="s">
        <v>17</v>
      </c>
      <c r="F444" s="12">
        <v>2025</v>
      </c>
      <c r="G444" s="12" t="s">
        <v>2562</v>
      </c>
      <c r="H444" s="12" t="s">
        <v>2563</v>
      </c>
      <c r="I444" s="12" t="s">
        <v>2564</v>
      </c>
      <c r="J444" t="s">
        <v>1062</v>
      </c>
    </row>
    <row r="445" spans="1:10">
      <c r="A445">
        <v>15</v>
      </c>
      <c r="B445">
        <v>372</v>
      </c>
      <c r="C445" s="12" t="s">
        <v>2565</v>
      </c>
      <c r="D445">
        <v>24</v>
      </c>
      <c r="E445" s="12" t="s">
        <v>17</v>
      </c>
      <c r="F445" s="12">
        <v>2025</v>
      </c>
      <c r="G445" s="12" t="s">
        <v>2566</v>
      </c>
      <c r="H445" s="12" t="s">
        <v>2567</v>
      </c>
      <c r="I445" s="12" t="s">
        <v>2568</v>
      </c>
      <c r="J445" t="s">
        <v>1062</v>
      </c>
    </row>
    <row r="446" spans="1:10">
      <c r="A446">
        <v>16</v>
      </c>
      <c r="B446">
        <v>373</v>
      </c>
      <c r="C446" s="12" t="s">
        <v>2569</v>
      </c>
      <c r="D446">
        <v>24</v>
      </c>
      <c r="E446" s="12" t="s">
        <v>17</v>
      </c>
      <c r="F446" s="12">
        <v>2025</v>
      </c>
      <c r="G446" s="12" t="s">
        <v>1363</v>
      </c>
      <c r="H446" s="12" t="s">
        <v>1364</v>
      </c>
      <c r="I446" s="12" t="s">
        <v>2570</v>
      </c>
      <c r="J446" t="s">
        <v>1062</v>
      </c>
    </row>
    <row r="447" spans="1:10">
      <c r="A447">
        <v>17</v>
      </c>
      <c r="B447">
        <v>374</v>
      </c>
      <c r="C447" s="12" t="s">
        <v>2571</v>
      </c>
      <c r="D447">
        <v>24</v>
      </c>
      <c r="E447" s="12" t="s">
        <v>17</v>
      </c>
      <c r="F447" s="12">
        <v>2025</v>
      </c>
      <c r="G447" s="12" t="s">
        <v>2572</v>
      </c>
      <c r="H447" s="12" t="s">
        <v>2573</v>
      </c>
      <c r="I447" s="12" t="s">
        <v>2574</v>
      </c>
      <c r="J447" t="s">
        <v>1062</v>
      </c>
    </row>
    <row r="448" spans="1:10">
      <c r="A448">
        <v>18</v>
      </c>
      <c r="B448">
        <v>375</v>
      </c>
      <c r="C448" s="12" t="s">
        <v>2575</v>
      </c>
      <c r="D448">
        <v>24</v>
      </c>
      <c r="E448" s="12" t="s">
        <v>17</v>
      </c>
      <c r="F448" s="12">
        <v>2025</v>
      </c>
      <c r="G448" s="12" t="s">
        <v>2576</v>
      </c>
      <c r="H448" s="12" t="s">
        <v>2577</v>
      </c>
      <c r="I448" s="12" t="s">
        <v>2578</v>
      </c>
      <c r="J448" t="s">
        <v>1062</v>
      </c>
    </row>
    <row r="449" spans="1:11">
      <c r="A449">
        <v>19</v>
      </c>
      <c r="B449">
        <v>376</v>
      </c>
      <c r="C449" s="12" t="s">
        <v>2586</v>
      </c>
      <c r="D449">
        <v>24</v>
      </c>
      <c r="E449" s="12" t="s">
        <v>17</v>
      </c>
      <c r="F449" s="12">
        <v>2025</v>
      </c>
      <c r="G449" s="12" t="s">
        <v>2587</v>
      </c>
      <c r="H449" s="12" t="s">
        <v>2589</v>
      </c>
      <c r="I449" s="12" t="s">
        <v>2588</v>
      </c>
      <c r="J449" t="s">
        <v>1062</v>
      </c>
    </row>
    <row r="450" spans="1:11">
      <c r="A450">
        <v>20</v>
      </c>
      <c r="B450">
        <v>377</v>
      </c>
      <c r="C450" s="12" t="s">
        <v>2579</v>
      </c>
      <c r="D450">
        <v>24</v>
      </c>
      <c r="E450" s="12" t="s">
        <v>17</v>
      </c>
      <c r="F450" s="12">
        <v>2025</v>
      </c>
      <c r="G450" s="12" t="s">
        <v>2580</v>
      </c>
      <c r="H450" s="12" t="s">
        <v>2581</v>
      </c>
      <c r="I450" s="12" t="s">
        <v>2582</v>
      </c>
      <c r="J450" t="s">
        <v>1062</v>
      </c>
    </row>
    <row r="451" spans="1:11">
      <c r="A451">
        <v>21</v>
      </c>
      <c r="B451">
        <v>378</v>
      </c>
      <c r="C451" s="12" t="s">
        <v>2590</v>
      </c>
      <c r="D451">
        <v>24</v>
      </c>
      <c r="E451" s="12" t="s">
        <v>17</v>
      </c>
      <c r="F451" s="12">
        <v>2025</v>
      </c>
      <c r="G451" s="12" t="s">
        <v>2583</v>
      </c>
      <c r="H451" s="12" t="s">
        <v>2584</v>
      </c>
      <c r="I451" s="12" t="s">
        <v>2585</v>
      </c>
      <c r="J451" t="s">
        <v>1062</v>
      </c>
    </row>
    <row r="452" spans="1:11">
      <c r="J452" t="s">
        <v>1062</v>
      </c>
    </row>
    <row r="453" spans="1:11" s="77" customFormat="1" ht="18">
      <c r="C453" s="77" t="s">
        <v>2762</v>
      </c>
    </row>
    <row r="454" spans="1:11">
      <c r="C454" s="10" t="s">
        <v>25</v>
      </c>
      <c r="D454" s="113" t="s">
        <v>10</v>
      </c>
      <c r="E454" s="113" t="s">
        <v>11</v>
      </c>
      <c r="F454" s="113" t="s">
        <v>12</v>
      </c>
      <c r="G454" s="2" t="s">
        <v>27</v>
      </c>
      <c r="H454" s="2" t="s">
        <v>26</v>
      </c>
      <c r="I454" s="2" t="s">
        <v>28</v>
      </c>
      <c r="J454" s="2" t="s">
        <v>9</v>
      </c>
      <c r="K454" s="64"/>
    </row>
    <row r="455" spans="1:11">
      <c r="A455">
        <v>1</v>
      </c>
      <c r="B455">
        <v>379</v>
      </c>
      <c r="C455" t="s">
        <v>2618</v>
      </c>
      <c r="D455">
        <v>30</v>
      </c>
      <c r="E455" t="s">
        <v>17</v>
      </c>
      <c r="F455">
        <v>2025</v>
      </c>
      <c r="G455" t="s">
        <v>2638</v>
      </c>
      <c r="H455" t="s">
        <v>2639</v>
      </c>
      <c r="I455" t="s">
        <v>2676</v>
      </c>
      <c r="J455" t="s">
        <v>1062</v>
      </c>
    </row>
    <row r="456" spans="1:11">
      <c r="A456">
        <v>2</v>
      </c>
      <c r="B456">
        <v>380</v>
      </c>
      <c r="C456" t="s">
        <v>2619</v>
      </c>
      <c r="D456">
        <v>30</v>
      </c>
      <c r="E456" t="s">
        <v>17</v>
      </c>
      <c r="F456">
        <v>2025</v>
      </c>
      <c r="G456" t="s">
        <v>2636</v>
      </c>
      <c r="H456" t="s">
        <v>2637</v>
      </c>
      <c r="I456" t="s">
        <v>2677</v>
      </c>
      <c r="J456" t="s">
        <v>1062</v>
      </c>
    </row>
    <row r="457" spans="1:11">
      <c r="A457">
        <v>3</v>
      </c>
      <c r="B457">
        <v>381</v>
      </c>
      <c r="C457" t="s">
        <v>2620</v>
      </c>
      <c r="D457">
        <v>30</v>
      </c>
      <c r="E457" t="s">
        <v>17</v>
      </c>
      <c r="F457">
        <v>2025</v>
      </c>
      <c r="G457" t="s">
        <v>2640</v>
      </c>
      <c r="H457" t="s">
        <v>2641</v>
      </c>
      <c r="I457" t="s">
        <v>2678</v>
      </c>
      <c r="J457" t="s">
        <v>1062</v>
      </c>
    </row>
    <row r="458" spans="1:11">
      <c r="A458">
        <v>4</v>
      </c>
      <c r="B458">
        <v>382</v>
      </c>
      <c r="C458" t="s">
        <v>2621</v>
      </c>
      <c r="D458">
        <v>30</v>
      </c>
      <c r="E458" t="s">
        <v>17</v>
      </c>
      <c r="F458">
        <v>2025</v>
      </c>
      <c r="G458" t="s">
        <v>2642</v>
      </c>
      <c r="H458" t="s">
        <v>2643</v>
      </c>
      <c r="I458" t="s">
        <v>2844</v>
      </c>
      <c r="J458" t="s">
        <v>1062</v>
      </c>
    </row>
    <row r="459" spans="1:11">
      <c r="A459">
        <v>5</v>
      </c>
      <c r="B459">
        <v>383</v>
      </c>
      <c r="C459" t="s">
        <v>2622</v>
      </c>
      <c r="D459">
        <v>30</v>
      </c>
      <c r="E459" t="s">
        <v>17</v>
      </c>
      <c r="F459">
        <v>2025</v>
      </c>
      <c r="G459" t="s">
        <v>2679</v>
      </c>
      <c r="H459" t="s">
        <v>2680</v>
      </c>
      <c r="I459" t="s">
        <v>2681</v>
      </c>
      <c r="J459" t="s">
        <v>1062</v>
      </c>
    </row>
    <row r="460" spans="1:11">
      <c r="A460">
        <v>6</v>
      </c>
      <c r="B460">
        <v>384</v>
      </c>
      <c r="C460" t="s">
        <v>2623</v>
      </c>
      <c r="D460">
        <v>30</v>
      </c>
      <c r="E460" t="s">
        <v>17</v>
      </c>
      <c r="F460">
        <v>2025</v>
      </c>
      <c r="G460" t="s">
        <v>2644</v>
      </c>
      <c r="H460" t="s">
        <v>2645</v>
      </c>
      <c r="I460" t="s">
        <v>2682</v>
      </c>
      <c r="J460" t="s">
        <v>1062</v>
      </c>
    </row>
    <row r="461" spans="1:11">
      <c r="A461">
        <v>7</v>
      </c>
      <c r="B461">
        <v>385</v>
      </c>
      <c r="C461" t="s">
        <v>2624</v>
      </c>
      <c r="D461">
        <v>30</v>
      </c>
      <c r="E461" t="s">
        <v>17</v>
      </c>
      <c r="F461">
        <v>2025</v>
      </c>
      <c r="G461" t="s">
        <v>2646</v>
      </c>
      <c r="H461" t="s">
        <v>2647</v>
      </c>
      <c r="I461" t="s">
        <v>2683</v>
      </c>
      <c r="J461" t="s">
        <v>1062</v>
      </c>
    </row>
    <row r="462" spans="1:11">
      <c r="A462">
        <v>8</v>
      </c>
      <c r="B462">
        <v>386</v>
      </c>
      <c r="C462" t="s">
        <v>2684</v>
      </c>
      <c r="D462">
        <v>30</v>
      </c>
      <c r="E462" t="s">
        <v>17</v>
      </c>
      <c r="F462">
        <v>2025</v>
      </c>
      <c r="G462" t="s">
        <v>2685</v>
      </c>
      <c r="I462" t="s">
        <v>2686</v>
      </c>
      <c r="J462" t="s">
        <v>1062</v>
      </c>
    </row>
    <row r="463" spans="1:11">
      <c r="A463">
        <v>9</v>
      </c>
      <c r="B463">
        <v>387</v>
      </c>
      <c r="C463" t="s">
        <v>2625</v>
      </c>
      <c r="D463">
        <v>30</v>
      </c>
      <c r="E463" t="s">
        <v>17</v>
      </c>
      <c r="F463">
        <v>2025</v>
      </c>
      <c r="G463" t="s">
        <v>2648</v>
      </c>
      <c r="H463" t="s">
        <v>2649</v>
      </c>
      <c r="I463" t="s">
        <v>2687</v>
      </c>
      <c r="J463" t="s">
        <v>1062</v>
      </c>
    </row>
    <row r="464" spans="1:11">
      <c r="A464">
        <v>10</v>
      </c>
      <c r="B464">
        <v>388</v>
      </c>
      <c r="C464" t="s">
        <v>2650</v>
      </c>
      <c r="D464">
        <v>30</v>
      </c>
      <c r="E464" t="s">
        <v>17</v>
      </c>
      <c r="F464">
        <v>2025</v>
      </c>
      <c r="G464" t="s">
        <v>2651</v>
      </c>
      <c r="H464" t="s">
        <v>2652</v>
      </c>
      <c r="I464" t="s">
        <v>2688</v>
      </c>
      <c r="J464" t="s">
        <v>1062</v>
      </c>
    </row>
    <row r="465" spans="1:11">
      <c r="A465">
        <v>11</v>
      </c>
      <c r="B465">
        <v>389</v>
      </c>
      <c r="C465" t="s">
        <v>2626</v>
      </c>
      <c r="D465">
        <v>30</v>
      </c>
      <c r="E465" t="s">
        <v>17</v>
      </c>
      <c r="F465">
        <v>2025</v>
      </c>
      <c r="G465" t="s">
        <v>2653</v>
      </c>
      <c r="H465" t="s">
        <v>2654</v>
      </c>
      <c r="I465" t="s">
        <v>2689</v>
      </c>
      <c r="J465" t="s">
        <v>1062</v>
      </c>
    </row>
    <row r="466" spans="1:11">
      <c r="A466">
        <v>12</v>
      </c>
      <c r="B466">
        <v>390</v>
      </c>
      <c r="C466" t="s">
        <v>2627</v>
      </c>
      <c r="D466">
        <v>30</v>
      </c>
      <c r="E466" t="s">
        <v>17</v>
      </c>
      <c r="F466">
        <v>2025</v>
      </c>
      <c r="G466" t="s">
        <v>2655</v>
      </c>
      <c r="H466" t="s">
        <v>2656</v>
      </c>
      <c r="I466" t="s">
        <v>2690</v>
      </c>
      <c r="J466" t="s">
        <v>1062</v>
      </c>
    </row>
    <row r="467" spans="1:11">
      <c r="A467">
        <v>13</v>
      </c>
      <c r="B467">
        <v>391</v>
      </c>
      <c r="C467" t="s">
        <v>2628</v>
      </c>
      <c r="D467">
        <v>30</v>
      </c>
      <c r="E467" t="s">
        <v>17</v>
      </c>
      <c r="F467">
        <v>2025</v>
      </c>
      <c r="G467" t="s">
        <v>2657</v>
      </c>
      <c r="H467" t="s">
        <v>2658</v>
      </c>
      <c r="I467" t="s">
        <v>2691</v>
      </c>
      <c r="J467" t="s">
        <v>1062</v>
      </c>
    </row>
    <row r="468" spans="1:11">
      <c r="A468">
        <v>14</v>
      </c>
      <c r="B468">
        <v>392</v>
      </c>
      <c r="C468" t="s">
        <v>2629</v>
      </c>
      <c r="D468">
        <v>30</v>
      </c>
      <c r="E468" t="s">
        <v>17</v>
      </c>
      <c r="F468">
        <v>2025</v>
      </c>
      <c r="G468" t="s">
        <v>2659</v>
      </c>
      <c r="H468" t="s">
        <v>2660</v>
      </c>
      <c r="I468" t="s">
        <v>2692</v>
      </c>
      <c r="J468" t="s">
        <v>1062</v>
      </c>
    </row>
    <row r="469" spans="1:11">
      <c r="A469">
        <v>15</v>
      </c>
      <c r="B469">
        <v>393</v>
      </c>
      <c r="C469" t="s">
        <v>2630</v>
      </c>
      <c r="D469">
        <v>30</v>
      </c>
      <c r="E469" t="s">
        <v>17</v>
      </c>
      <c r="F469">
        <v>2025</v>
      </c>
      <c r="G469" t="s">
        <v>2693</v>
      </c>
      <c r="H469" t="s">
        <v>2661</v>
      </c>
      <c r="I469" t="s">
        <v>2694</v>
      </c>
      <c r="J469" t="s">
        <v>1062</v>
      </c>
    </row>
    <row r="470" spans="1:11">
      <c r="A470">
        <v>17</v>
      </c>
      <c r="B470">
        <v>394</v>
      </c>
      <c r="C470" t="s">
        <v>2662</v>
      </c>
      <c r="D470">
        <v>30</v>
      </c>
      <c r="E470" t="s">
        <v>17</v>
      </c>
      <c r="F470">
        <v>2025</v>
      </c>
      <c r="G470" t="s">
        <v>2695</v>
      </c>
      <c r="H470" t="s">
        <v>2663</v>
      </c>
      <c r="I470" t="s">
        <v>2696</v>
      </c>
    </row>
    <row r="471" spans="1:11">
      <c r="A471">
        <v>18</v>
      </c>
      <c r="B471">
        <v>395</v>
      </c>
      <c r="C471" t="s">
        <v>2664</v>
      </c>
      <c r="D471">
        <v>30</v>
      </c>
      <c r="E471" t="s">
        <v>17</v>
      </c>
      <c r="F471">
        <v>2025</v>
      </c>
      <c r="G471" t="s">
        <v>2665</v>
      </c>
      <c r="I471" t="s">
        <v>2697</v>
      </c>
    </row>
    <row r="472" spans="1:11">
      <c r="A472">
        <v>19</v>
      </c>
      <c r="B472">
        <v>396</v>
      </c>
      <c r="C472" t="s">
        <v>2631</v>
      </c>
      <c r="D472">
        <v>30</v>
      </c>
      <c r="E472" t="s">
        <v>17</v>
      </c>
      <c r="F472">
        <v>2025</v>
      </c>
      <c r="G472" t="s">
        <v>2666</v>
      </c>
      <c r="H472" t="s">
        <v>2667</v>
      </c>
      <c r="I472" t="s">
        <v>2698</v>
      </c>
      <c r="J472" t="s">
        <v>1062</v>
      </c>
    </row>
    <row r="473" spans="1:11">
      <c r="A473">
        <v>20</v>
      </c>
      <c r="B473">
        <v>397</v>
      </c>
      <c r="C473" t="s">
        <v>2632</v>
      </c>
      <c r="D473">
        <v>30</v>
      </c>
      <c r="E473" t="s">
        <v>17</v>
      </c>
      <c r="F473">
        <v>2025</v>
      </c>
      <c r="G473" t="s">
        <v>2668</v>
      </c>
      <c r="H473" t="s">
        <v>2669</v>
      </c>
      <c r="I473" t="s">
        <v>2699</v>
      </c>
      <c r="J473" t="s">
        <v>1062</v>
      </c>
    </row>
    <row r="474" spans="1:11">
      <c r="A474">
        <v>21</v>
      </c>
      <c r="B474">
        <v>398</v>
      </c>
      <c r="C474" t="s">
        <v>2633</v>
      </c>
      <c r="D474">
        <v>30</v>
      </c>
      <c r="E474" t="s">
        <v>17</v>
      </c>
      <c r="F474">
        <v>2025</v>
      </c>
      <c r="G474" t="s">
        <v>2670</v>
      </c>
      <c r="H474" t="s">
        <v>2671</v>
      </c>
      <c r="I474" t="s">
        <v>2700</v>
      </c>
      <c r="J474" t="s">
        <v>1062</v>
      </c>
    </row>
    <row r="475" spans="1:11">
      <c r="A475">
        <v>22</v>
      </c>
      <c r="B475">
        <v>399</v>
      </c>
      <c r="C475" t="s">
        <v>2400</v>
      </c>
      <c r="D475">
        <v>30</v>
      </c>
      <c r="E475" t="s">
        <v>17</v>
      </c>
      <c r="F475">
        <v>2025</v>
      </c>
      <c r="G475" t="s">
        <v>2415</v>
      </c>
      <c r="H475" t="s">
        <v>2402</v>
      </c>
      <c r="I475" t="s">
        <v>2404</v>
      </c>
      <c r="J475" t="s">
        <v>1062</v>
      </c>
    </row>
    <row r="476" spans="1:11">
      <c r="A476">
        <v>23</v>
      </c>
      <c r="B476">
        <v>400</v>
      </c>
      <c r="C476" t="s">
        <v>2634</v>
      </c>
      <c r="D476">
        <v>30</v>
      </c>
      <c r="E476" t="s">
        <v>17</v>
      </c>
      <c r="F476">
        <v>2025</v>
      </c>
      <c r="G476" t="s">
        <v>2672</v>
      </c>
      <c r="H476" t="s">
        <v>2673</v>
      </c>
      <c r="I476" t="s">
        <v>2639</v>
      </c>
      <c r="J476" t="s">
        <v>1062</v>
      </c>
    </row>
    <row r="477" spans="1:11">
      <c r="A477">
        <v>24</v>
      </c>
      <c r="B477">
        <v>401</v>
      </c>
      <c r="C477" t="s">
        <v>2635</v>
      </c>
      <c r="D477">
        <v>30</v>
      </c>
      <c r="E477" t="s">
        <v>17</v>
      </c>
      <c r="F477">
        <v>2025</v>
      </c>
      <c r="G477" t="s">
        <v>2674</v>
      </c>
      <c r="H477" t="s">
        <v>2675</v>
      </c>
      <c r="I477" t="s">
        <v>2701</v>
      </c>
      <c r="J477" t="s">
        <v>1062</v>
      </c>
    </row>
    <row r="478" spans="1:11">
      <c r="J478" t="s">
        <v>1062</v>
      </c>
    </row>
    <row r="479" spans="1:11" s="77" customFormat="1" ht="18">
      <c r="B479"/>
      <c r="C479" s="77" t="s">
        <v>2763</v>
      </c>
    </row>
    <row r="480" spans="1:11" ht="18">
      <c r="B480" s="77"/>
      <c r="C480" s="10" t="s">
        <v>25</v>
      </c>
      <c r="D480" s="114" t="s">
        <v>10</v>
      </c>
      <c r="E480" s="114" t="s">
        <v>11</v>
      </c>
      <c r="F480" s="114" t="s">
        <v>12</v>
      </c>
      <c r="G480" s="2" t="s">
        <v>27</v>
      </c>
      <c r="H480" s="2" t="s">
        <v>26</v>
      </c>
      <c r="I480" s="2" t="s">
        <v>28</v>
      </c>
      <c r="J480" s="2" t="s">
        <v>9</v>
      </c>
      <c r="K480" s="64"/>
    </row>
    <row r="481" spans="1:10">
      <c r="A481">
        <v>1</v>
      </c>
      <c r="B481">
        <v>402</v>
      </c>
      <c r="C481" t="s">
        <v>2711</v>
      </c>
      <c r="D481">
        <v>31</v>
      </c>
      <c r="E481" t="s">
        <v>17</v>
      </c>
      <c r="F481">
        <v>2025</v>
      </c>
      <c r="G481" t="s">
        <v>2712</v>
      </c>
      <c r="H481" t="s">
        <v>2713</v>
      </c>
      <c r="I481" t="s">
        <v>2714</v>
      </c>
      <c r="J481" t="s">
        <v>1062</v>
      </c>
    </row>
    <row r="482" spans="1:10">
      <c r="A482">
        <v>2</v>
      </c>
      <c r="B482">
        <v>403</v>
      </c>
      <c r="C482" t="s">
        <v>2715</v>
      </c>
      <c r="D482">
        <v>31</v>
      </c>
      <c r="E482" t="s">
        <v>17</v>
      </c>
      <c r="F482">
        <v>2025</v>
      </c>
      <c r="G482" t="s">
        <v>2716</v>
      </c>
      <c r="H482" t="s">
        <v>2717</v>
      </c>
      <c r="I482" t="s">
        <v>2718</v>
      </c>
      <c r="J482" t="s">
        <v>1062</v>
      </c>
    </row>
    <row r="483" spans="1:10">
      <c r="A483">
        <v>3</v>
      </c>
      <c r="B483">
        <v>404</v>
      </c>
      <c r="C483" t="s">
        <v>2719</v>
      </c>
      <c r="D483">
        <v>31</v>
      </c>
      <c r="E483" t="s">
        <v>17</v>
      </c>
      <c r="F483">
        <v>2025</v>
      </c>
      <c r="G483" t="s">
        <v>2720</v>
      </c>
      <c r="H483" t="s">
        <v>2252</v>
      </c>
      <c r="I483" t="s">
        <v>2721</v>
      </c>
      <c r="J483" t="s">
        <v>1062</v>
      </c>
    </row>
    <row r="484" spans="1:10">
      <c r="A484">
        <v>4</v>
      </c>
      <c r="B484">
        <v>405</v>
      </c>
      <c r="C484" t="s">
        <v>2722</v>
      </c>
      <c r="D484">
        <v>31</v>
      </c>
      <c r="E484" t="s">
        <v>17</v>
      </c>
      <c r="F484">
        <v>2025</v>
      </c>
      <c r="G484" t="s">
        <v>2723</v>
      </c>
      <c r="H484" t="s">
        <v>1894</v>
      </c>
      <c r="I484" t="s">
        <v>2724</v>
      </c>
      <c r="J484" t="s">
        <v>1062</v>
      </c>
    </row>
    <row r="485" spans="1:10">
      <c r="A485">
        <v>5</v>
      </c>
      <c r="B485">
        <v>406</v>
      </c>
      <c r="C485" t="s">
        <v>2725</v>
      </c>
      <c r="D485">
        <v>31</v>
      </c>
      <c r="E485" t="s">
        <v>17</v>
      </c>
      <c r="F485">
        <v>2025</v>
      </c>
      <c r="G485" t="s">
        <v>2726</v>
      </c>
      <c r="H485" t="s">
        <v>2727</v>
      </c>
      <c r="I485" t="s">
        <v>2728</v>
      </c>
      <c r="J485" t="s">
        <v>1062</v>
      </c>
    </row>
    <row r="486" spans="1:10">
      <c r="A486">
        <v>6</v>
      </c>
      <c r="B486">
        <v>407</v>
      </c>
      <c r="C486" t="s">
        <v>2730</v>
      </c>
      <c r="D486">
        <v>31</v>
      </c>
      <c r="E486" t="s">
        <v>17</v>
      </c>
      <c r="F486">
        <v>2025</v>
      </c>
      <c r="G486" t="s">
        <v>2729</v>
      </c>
      <c r="H486" t="s">
        <v>2731</v>
      </c>
      <c r="I486" t="s">
        <v>2732</v>
      </c>
      <c r="J486" t="s">
        <v>1062</v>
      </c>
    </row>
    <row r="487" spans="1:10">
      <c r="A487">
        <v>7</v>
      </c>
      <c r="B487">
        <v>408</v>
      </c>
      <c r="C487" t="s">
        <v>2733</v>
      </c>
      <c r="D487">
        <v>31</v>
      </c>
      <c r="E487" t="s">
        <v>17</v>
      </c>
      <c r="F487">
        <v>2025</v>
      </c>
      <c r="G487" t="s">
        <v>2734</v>
      </c>
      <c r="H487" t="s">
        <v>2735</v>
      </c>
      <c r="I487" t="s">
        <v>2736</v>
      </c>
      <c r="J487" t="s">
        <v>1062</v>
      </c>
    </row>
    <row r="488" spans="1:10">
      <c r="A488">
        <v>8</v>
      </c>
      <c r="B488">
        <v>409</v>
      </c>
      <c r="C488" t="s">
        <v>2737</v>
      </c>
      <c r="D488">
        <v>31</v>
      </c>
      <c r="E488" t="s">
        <v>17</v>
      </c>
      <c r="F488">
        <v>2025</v>
      </c>
      <c r="G488" t="s">
        <v>2734</v>
      </c>
      <c r="H488" t="s">
        <v>2735</v>
      </c>
      <c r="I488" t="s">
        <v>3271</v>
      </c>
      <c r="J488" t="s">
        <v>1062</v>
      </c>
    </row>
    <row r="489" spans="1:10">
      <c r="A489">
        <v>9</v>
      </c>
      <c r="B489">
        <v>410</v>
      </c>
      <c r="C489" t="s">
        <v>2738</v>
      </c>
      <c r="D489">
        <v>31</v>
      </c>
      <c r="E489" t="s">
        <v>17</v>
      </c>
      <c r="F489">
        <v>2025</v>
      </c>
      <c r="G489" t="s">
        <v>856</v>
      </c>
      <c r="H489" t="s">
        <v>857</v>
      </c>
      <c r="I489" t="s">
        <v>2739</v>
      </c>
      <c r="J489" t="s">
        <v>1062</v>
      </c>
    </row>
    <row r="490" spans="1:10">
      <c r="A490">
        <v>10</v>
      </c>
      <c r="B490">
        <v>411</v>
      </c>
      <c r="C490" t="s">
        <v>2740</v>
      </c>
      <c r="D490">
        <v>31</v>
      </c>
      <c r="E490" t="s">
        <v>17</v>
      </c>
      <c r="F490">
        <v>2025</v>
      </c>
      <c r="G490" t="s">
        <v>2741</v>
      </c>
      <c r="H490" t="s">
        <v>2742</v>
      </c>
      <c r="I490" t="s">
        <v>2743</v>
      </c>
      <c r="J490" t="s">
        <v>1062</v>
      </c>
    </row>
    <row r="491" spans="1:10">
      <c r="A491">
        <v>11</v>
      </c>
      <c r="B491">
        <v>412</v>
      </c>
      <c r="C491" t="s">
        <v>2744</v>
      </c>
      <c r="D491">
        <v>31</v>
      </c>
      <c r="E491" t="s">
        <v>17</v>
      </c>
      <c r="F491">
        <v>2025</v>
      </c>
      <c r="G491" t="s">
        <v>2745</v>
      </c>
      <c r="H491" t="s">
        <v>2746</v>
      </c>
      <c r="I491" t="s">
        <v>2747</v>
      </c>
      <c r="J491" t="s">
        <v>1062</v>
      </c>
    </row>
    <row r="492" spans="1:10">
      <c r="A492">
        <v>12</v>
      </c>
      <c r="B492">
        <v>413</v>
      </c>
      <c r="C492" t="s">
        <v>2748</v>
      </c>
      <c r="D492">
        <v>31</v>
      </c>
      <c r="E492" t="s">
        <v>17</v>
      </c>
      <c r="F492">
        <v>2025</v>
      </c>
      <c r="G492" t="s">
        <v>2749</v>
      </c>
      <c r="H492" t="s">
        <v>2750</v>
      </c>
      <c r="I492" t="s">
        <v>2751</v>
      </c>
      <c r="J492" t="s">
        <v>1062</v>
      </c>
    </row>
    <row r="493" spans="1:10">
      <c r="A493">
        <v>13</v>
      </c>
      <c r="B493">
        <v>414</v>
      </c>
      <c r="C493" t="s">
        <v>2752</v>
      </c>
      <c r="D493">
        <v>31</v>
      </c>
      <c r="E493" t="s">
        <v>17</v>
      </c>
      <c r="F493">
        <v>2025</v>
      </c>
      <c r="G493" t="s">
        <v>2229</v>
      </c>
      <c r="H493" t="s">
        <v>2230</v>
      </c>
      <c r="I493" t="s">
        <v>2753</v>
      </c>
      <c r="J493" t="s">
        <v>1062</v>
      </c>
    </row>
    <row r="494" spans="1:10">
      <c r="A494">
        <v>14</v>
      </c>
      <c r="B494">
        <v>415</v>
      </c>
      <c r="C494" t="s">
        <v>2754</v>
      </c>
      <c r="D494">
        <v>31</v>
      </c>
      <c r="E494" t="s">
        <v>17</v>
      </c>
      <c r="F494">
        <v>2025</v>
      </c>
      <c r="G494" t="s">
        <v>2741</v>
      </c>
      <c r="H494" t="s">
        <v>2742</v>
      </c>
      <c r="I494" t="s">
        <v>2755</v>
      </c>
      <c r="J494" t="s">
        <v>1062</v>
      </c>
    </row>
    <row r="495" spans="1:10">
      <c r="A495">
        <v>15</v>
      </c>
      <c r="B495">
        <v>416</v>
      </c>
      <c r="C495" t="s">
        <v>2756</v>
      </c>
      <c r="D495">
        <v>31</v>
      </c>
      <c r="E495" t="s">
        <v>17</v>
      </c>
      <c r="F495">
        <v>2025</v>
      </c>
      <c r="G495" t="s">
        <v>2757</v>
      </c>
      <c r="H495" t="s">
        <v>2759</v>
      </c>
      <c r="I495" t="s">
        <v>2758</v>
      </c>
      <c r="J495" t="s">
        <v>1062</v>
      </c>
    </row>
    <row r="496" spans="1:10">
      <c r="A496">
        <v>16</v>
      </c>
      <c r="B496">
        <v>417</v>
      </c>
      <c r="C496" t="s">
        <v>2760</v>
      </c>
      <c r="D496">
        <v>31</v>
      </c>
      <c r="E496" t="s">
        <v>17</v>
      </c>
      <c r="F496">
        <v>2025</v>
      </c>
      <c r="G496" t="s">
        <v>1242</v>
      </c>
      <c r="H496" t="s">
        <v>1243</v>
      </c>
      <c r="I496" t="s">
        <v>2761</v>
      </c>
      <c r="J496" t="s">
        <v>1062</v>
      </c>
    </row>
    <row r="498" spans="1:11" s="77" customFormat="1" ht="18">
      <c r="B498"/>
      <c r="C498" s="77" t="s">
        <v>2765</v>
      </c>
    </row>
    <row r="499" spans="1:11" ht="18">
      <c r="B499" s="77"/>
      <c r="C499" s="10" t="s">
        <v>25</v>
      </c>
      <c r="D499" s="115" t="s">
        <v>10</v>
      </c>
      <c r="E499" s="115" t="s">
        <v>11</v>
      </c>
      <c r="F499" s="115" t="s">
        <v>12</v>
      </c>
      <c r="G499" s="2" t="s">
        <v>27</v>
      </c>
      <c r="H499" s="2" t="s">
        <v>26</v>
      </c>
      <c r="I499" s="2" t="s">
        <v>28</v>
      </c>
      <c r="J499" s="2" t="s">
        <v>9</v>
      </c>
      <c r="K499" s="64"/>
    </row>
    <row r="500" spans="1:11">
      <c r="A500">
        <v>1</v>
      </c>
      <c r="B500">
        <v>418</v>
      </c>
      <c r="C500" t="s">
        <v>2809</v>
      </c>
      <c r="D500">
        <v>30</v>
      </c>
      <c r="E500" t="s">
        <v>17</v>
      </c>
      <c r="F500">
        <v>2025</v>
      </c>
      <c r="G500" t="s">
        <v>2810</v>
      </c>
      <c r="H500" t="s">
        <v>2811</v>
      </c>
      <c r="I500" t="s">
        <v>2812</v>
      </c>
      <c r="J500" t="s">
        <v>1062</v>
      </c>
    </row>
    <row r="501" spans="1:11">
      <c r="A501">
        <v>2</v>
      </c>
      <c r="B501">
        <v>419</v>
      </c>
      <c r="C501" t="s">
        <v>2803</v>
      </c>
      <c r="D501">
        <v>30</v>
      </c>
      <c r="E501" t="s">
        <v>17</v>
      </c>
      <c r="F501">
        <v>2025</v>
      </c>
      <c r="G501" t="s">
        <v>2804</v>
      </c>
      <c r="H501" t="s">
        <v>2805</v>
      </c>
      <c r="I501" t="s">
        <v>2806</v>
      </c>
      <c r="J501" t="s">
        <v>1062</v>
      </c>
    </row>
    <row r="502" spans="1:11">
      <c r="A502">
        <v>3</v>
      </c>
      <c r="B502">
        <v>420</v>
      </c>
      <c r="C502" t="s">
        <v>3147</v>
      </c>
      <c r="D502">
        <v>30</v>
      </c>
      <c r="E502" t="s">
        <v>17</v>
      </c>
      <c r="F502">
        <v>2025</v>
      </c>
      <c r="G502" t="s">
        <v>2807</v>
      </c>
      <c r="H502" t="s">
        <v>3148</v>
      </c>
      <c r="I502" t="s">
        <v>2808</v>
      </c>
      <c r="J502" t="s">
        <v>1062</v>
      </c>
    </row>
    <row r="503" spans="1:11">
      <c r="A503">
        <v>4</v>
      </c>
      <c r="B503">
        <v>421</v>
      </c>
      <c r="C503" t="s">
        <v>3146</v>
      </c>
      <c r="D503">
        <v>30</v>
      </c>
      <c r="E503" t="s">
        <v>17</v>
      </c>
      <c r="F503">
        <v>2025</v>
      </c>
      <c r="G503" t="s">
        <v>2813</v>
      </c>
      <c r="H503" t="s">
        <v>2782</v>
      </c>
      <c r="I503" t="s">
        <v>2783</v>
      </c>
      <c r="J503" t="s">
        <v>1062</v>
      </c>
    </row>
    <row r="504" spans="1:11">
      <c r="A504">
        <v>5</v>
      </c>
      <c r="B504">
        <v>422</v>
      </c>
      <c r="C504" t="s">
        <v>2764</v>
      </c>
      <c r="D504">
        <v>30</v>
      </c>
      <c r="E504" t="s">
        <v>17</v>
      </c>
      <c r="F504">
        <v>2025</v>
      </c>
      <c r="G504" t="s">
        <v>2766</v>
      </c>
      <c r="H504" t="s">
        <v>2767</v>
      </c>
      <c r="I504" t="s">
        <v>2768</v>
      </c>
      <c r="J504" t="s">
        <v>1062</v>
      </c>
    </row>
    <row r="505" spans="1:11">
      <c r="A505">
        <v>6</v>
      </c>
      <c r="B505">
        <v>423</v>
      </c>
      <c r="C505" t="s">
        <v>2800</v>
      </c>
      <c r="D505">
        <v>30</v>
      </c>
      <c r="E505" t="s">
        <v>17</v>
      </c>
      <c r="F505">
        <v>2025</v>
      </c>
      <c r="G505" t="s">
        <v>3145</v>
      </c>
      <c r="H505" t="s">
        <v>2801</v>
      </c>
      <c r="I505" t="s">
        <v>2802</v>
      </c>
      <c r="J505" t="s">
        <v>1062</v>
      </c>
    </row>
    <row r="506" spans="1:11">
      <c r="A506">
        <v>7</v>
      </c>
      <c r="B506">
        <v>424</v>
      </c>
      <c r="C506" t="s">
        <v>2771</v>
      </c>
      <c r="D506">
        <v>30</v>
      </c>
      <c r="E506" t="s">
        <v>17</v>
      </c>
      <c r="F506">
        <v>2025</v>
      </c>
      <c r="G506" t="s">
        <v>2772</v>
      </c>
      <c r="H506" t="s">
        <v>2773</v>
      </c>
      <c r="I506" t="s">
        <v>2774</v>
      </c>
      <c r="J506" t="s">
        <v>1062</v>
      </c>
    </row>
    <row r="507" spans="1:11">
      <c r="A507">
        <v>8</v>
      </c>
      <c r="B507">
        <v>425</v>
      </c>
      <c r="C507" t="s">
        <v>2796</v>
      </c>
      <c r="D507">
        <v>30</v>
      </c>
      <c r="E507" t="s">
        <v>17</v>
      </c>
      <c r="F507">
        <v>2025</v>
      </c>
      <c r="G507" t="s">
        <v>2797</v>
      </c>
      <c r="H507" t="s">
        <v>2798</v>
      </c>
      <c r="I507" t="s">
        <v>2799</v>
      </c>
      <c r="J507" t="s">
        <v>1062</v>
      </c>
    </row>
    <row r="508" spans="1:11">
      <c r="A508">
        <v>9</v>
      </c>
      <c r="B508">
        <v>426</v>
      </c>
      <c r="C508" t="s">
        <v>2793</v>
      </c>
      <c r="D508">
        <v>30</v>
      </c>
      <c r="E508" t="s">
        <v>17</v>
      </c>
      <c r="F508">
        <v>2025</v>
      </c>
      <c r="G508" t="s">
        <v>2794</v>
      </c>
      <c r="I508" t="s">
        <v>2795</v>
      </c>
      <c r="J508" t="s">
        <v>1062</v>
      </c>
    </row>
    <row r="509" spans="1:11">
      <c r="A509">
        <v>10</v>
      </c>
      <c r="B509">
        <v>427</v>
      </c>
      <c r="C509" t="s">
        <v>2775</v>
      </c>
      <c r="D509">
        <v>30</v>
      </c>
      <c r="E509" t="s">
        <v>17</v>
      </c>
      <c r="F509">
        <v>2025</v>
      </c>
      <c r="G509" t="s">
        <v>2776</v>
      </c>
      <c r="H509" t="s">
        <v>2777</v>
      </c>
      <c r="I509" t="s">
        <v>2792</v>
      </c>
      <c r="J509" t="s">
        <v>1062</v>
      </c>
    </row>
    <row r="510" spans="1:11">
      <c r="A510">
        <v>11</v>
      </c>
      <c r="B510">
        <v>428</v>
      </c>
      <c r="C510" t="s">
        <v>2778</v>
      </c>
      <c r="D510">
        <v>30</v>
      </c>
      <c r="E510" t="s">
        <v>17</v>
      </c>
      <c r="F510">
        <v>2025</v>
      </c>
      <c r="G510" t="s">
        <v>2779</v>
      </c>
      <c r="H510" t="s">
        <v>2780</v>
      </c>
      <c r="I510" t="s">
        <v>2781</v>
      </c>
      <c r="J510" t="s">
        <v>1062</v>
      </c>
    </row>
    <row r="511" spans="1:11">
      <c r="A511">
        <v>12</v>
      </c>
      <c r="B511">
        <v>429</v>
      </c>
      <c r="C511" t="s">
        <v>2786</v>
      </c>
      <c r="D511">
        <v>30</v>
      </c>
      <c r="E511" t="s">
        <v>17</v>
      </c>
      <c r="F511">
        <v>2025</v>
      </c>
      <c r="G511" t="s">
        <v>2772</v>
      </c>
      <c r="H511" t="s">
        <v>2773</v>
      </c>
      <c r="I511" t="s">
        <v>2787</v>
      </c>
      <c r="J511" t="s">
        <v>1062</v>
      </c>
    </row>
    <row r="512" spans="1:11">
      <c r="A512">
        <v>13</v>
      </c>
      <c r="B512">
        <v>430</v>
      </c>
      <c r="C512" t="s">
        <v>2784</v>
      </c>
      <c r="D512">
        <v>30</v>
      </c>
      <c r="E512" t="s">
        <v>17</v>
      </c>
      <c r="F512">
        <v>2025</v>
      </c>
      <c r="G512" t="s">
        <v>2779</v>
      </c>
      <c r="H512" t="s">
        <v>2780</v>
      </c>
      <c r="I512" t="s">
        <v>2785</v>
      </c>
      <c r="J512" t="s">
        <v>1062</v>
      </c>
    </row>
    <row r="513" spans="1:11">
      <c r="A513">
        <v>14</v>
      </c>
      <c r="B513">
        <v>431</v>
      </c>
      <c r="C513" t="s">
        <v>2769</v>
      </c>
      <c r="D513">
        <v>30</v>
      </c>
      <c r="E513" t="s">
        <v>17</v>
      </c>
      <c r="F513">
        <v>2025</v>
      </c>
      <c r="G513" t="s">
        <v>1965</v>
      </c>
      <c r="H513" t="s">
        <v>1966</v>
      </c>
      <c r="I513" t="s">
        <v>2770</v>
      </c>
      <c r="J513" t="s">
        <v>1062</v>
      </c>
    </row>
    <row r="514" spans="1:11">
      <c r="A514">
        <v>15</v>
      </c>
      <c r="B514">
        <v>432</v>
      </c>
      <c r="C514" t="s">
        <v>2788</v>
      </c>
      <c r="D514">
        <v>30</v>
      </c>
      <c r="E514" t="s">
        <v>17</v>
      </c>
      <c r="F514">
        <v>2025</v>
      </c>
      <c r="G514" t="s">
        <v>2789</v>
      </c>
      <c r="H514" t="s">
        <v>2790</v>
      </c>
      <c r="I514" t="s">
        <v>2791</v>
      </c>
      <c r="J514" t="s">
        <v>1062</v>
      </c>
    </row>
    <row r="516" spans="1:11" s="77" customFormat="1" ht="18">
      <c r="B516"/>
      <c r="C516" s="77" t="s">
        <v>2817</v>
      </c>
    </row>
    <row r="517" spans="1:11" ht="18">
      <c r="B517" s="77"/>
      <c r="C517" s="10" t="s">
        <v>25</v>
      </c>
      <c r="D517" s="116" t="s">
        <v>10</v>
      </c>
      <c r="E517" s="116" t="s">
        <v>11</v>
      </c>
      <c r="F517" s="116" t="s">
        <v>12</v>
      </c>
      <c r="G517" s="2" t="s">
        <v>27</v>
      </c>
      <c r="H517" s="2" t="s">
        <v>26</v>
      </c>
      <c r="I517" s="2" t="s">
        <v>28</v>
      </c>
      <c r="J517" s="2" t="s">
        <v>9</v>
      </c>
      <c r="K517" s="64"/>
    </row>
    <row r="518" spans="1:11">
      <c r="A518">
        <v>1</v>
      </c>
      <c r="B518">
        <v>433</v>
      </c>
      <c r="C518" t="s">
        <v>2818</v>
      </c>
      <c r="D518">
        <v>24</v>
      </c>
      <c r="E518" t="s">
        <v>17</v>
      </c>
      <c r="F518">
        <v>2025</v>
      </c>
      <c r="G518" t="s">
        <v>2819</v>
      </c>
      <c r="H518" t="s">
        <v>2820</v>
      </c>
      <c r="I518" t="s">
        <v>2821</v>
      </c>
      <c r="J518" t="s">
        <v>1062</v>
      </c>
    </row>
    <row r="519" spans="1:11">
      <c r="A519">
        <v>2</v>
      </c>
      <c r="B519">
        <v>434</v>
      </c>
      <c r="C519" t="s">
        <v>2822</v>
      </c>
      <c r="D519">
        <v>24</v>
      </c>
      <c r="E519" t="s">
        <v>17</v>
      </c>
      <c r="F519">
        <v>2025</v>
      </c>
      <c r="G519" t="s">
        <v>2823</v>
      </c>
      <c r="I519" t="s">
        <v>2841</v>
      </c>
      <c r="J519" t="s">
        <v>1062</v>
      </c>
    </row>
    <row r="520" spans="1:11">
      <c r="A520">
        <v>3</v>
      </c>
      <c r="B520">
        <v>435</v>
      </c>
      <c r="C520" t="s">
        <v>2824</v>
      </c>
      <c r="D520">
        <v>24</v>
      </c>
      <c r="E520" t="s">
        <v>17</v>
      </c>
      <c r="F520">
        <v>2025</v>
      </c>
      <c r="G520" t="s">
        <v>2825</v>
      </c>
      <c r="H520" t="s">
        <v>2826</v>
      </c>
      <c r="I520" t="s">
        <v>2827</v>
      </c>
      <c r="J520" t="s">
        <v>1062</v>
      </c>
    </row>
    <row r="521" spans="1:11">
      <c r="A521" s="39">
        <v>4</v>
      </c>
      <c r="B521">
        <v>436</v>
      </c>
      <c r="C521" t="s">
        <v>2828</v>
      </c>
      <c r="D521">
        <v>24</v>
      </c>
      <c r="E521" t="s">
        <v>17</v>
      </c>
      <c r="F521">
        <v>2025</v>
      </c>
      <c r="G521" t="s">
        <v>2829</v>
      </c>
      <c r="H521" t="s">
        <v>2830</v>
      </c>
      <c r="I521" t="s">
        <v>2842</v>
      </c>
      <c r="J521" t="s">
        <v>1062</v>
      </c>
    </row>
    <row r="522" spans="1:11">
      <c r="A522">
        <v>5</v>
      </c>
      <c r="B522">
        <v>437</v>
      </c>
      <c r="C522" t="s">
        <v>2831</v>
      </c>
      <c r="D522">
        <v>24</v>
      </c>
      <c r="E522" t="s">
        <v>17</v>
      </c>
      <c r="F522">
        <v>2025</v>
      </c>
      <c r="G522" t="s">
        <v>1525</v>
      </c>
      <c r="H522" t="s">
        <v>323</v>
      </c>
      <c r="I522" t="s">
        <v>322</v>
      </c>
      <c r="J522" t="s">
        <v>1062</v>
      </c>
    </row>
    <row r="523" spans="1:11">
      <c r="A523">
        <v>6</v>
      </c>
      <c r="B523">
        <v>438</v>
      </c>
      <c r="C523" t="s">
        <v>2832</v>
      </c>
      <c r="D523">
        <v>24</v>
      </c>
      <c r="E523" t="s">
        <v>17</v>
      </c>
      <c r="F523">
        <v>2025</v>
      </c>
      <c r="G523" t="s">
        <v>1521</v>
      </c>
      <c r="H523" t="s">
        <v>1522</v>
      </c>
      <c r="I523" t="s">
        <v>2843</v>
      </c>
      <c r="J523" t="s">
        <v>1062</v>
      </c>
    </row>
    <row r="524" spans="1:11">
      <c r="A524">
        <v>7</v>
      </c>
      <c r="B524">
        <v>439</v>
      </c>
      <c r="C524" t="s">
        <v>2833</v>
      </c>
      <c r="D524">
        <v>24</v>
      </c>
      <c r="E524" t="s">
        <v>17</v>
      </c>
      <c r="F524">
        <v>2025</v>
      </c>
      <c r="G524" t="s">
        <v>2834</v>
      </c>
      <c r="H524" t="s">
        <v>2835</v>
      </c>
      <c r="I524" t="s">
        <v>2836</v>
      </c>
      <c r="J524" t="s">
        <v>1062</v>
      </c>
    </row>
    <row r="525" spans="1:11">
      <c r="A525">
        <v>8</v>
      </c>
      <c r="B525">
        <v>440</v>
      </c>
      <c r="C525" t="s">
        <v>2837</v>
      </c>
      <c r="D525">
        <v>24</v>
      </c>
      <c r="E525" t="s">
        <v>17</v>
      </c>
      <c r="F525">
        <v>2025</v>
      </c>
      <c r="G525" t="s">
        <v>2838</v>
      </c>
      <c r="H525" t="s">
        <v>2839</v>
      </c>
      <c r="I525" t="s">
        <v>2840</v>
      </c>
      <c r="J525" t="s">
        <v>1062</v>
      </c>
    </row>
    <row r="527" spans="1:11" s="77" customFormat="1" ht="18">
      <c r="B527"/>
      <c r="C527" s="77" t="s">
        <v>2850</v>
      </c>
    </row>
    <row r="528" spans="1:11" ht="18">
      <c r="B528" s="77"/>
      <c r="C528" s="10" t="s">
        <v>25</v>
      </c>
      <c r="D528" s="118" t="s">
        <v>10</v>
      </c>
      <c r="E528" s="118" t="s">
        <v>11</v>
      </c>
      <c r="F528" s="118" t="s">
        <v>12</v>
      </c>
      <c r="G528" s="2" t="s">
        <v>27</v>
      </c>
      <c r="H528" s="2" t="s">
        <v>26</v>
      </c>
      <c r="I528" s="2" t="s">
        <v>28</v>
      </c>
      <c r="J528" s="2" t="s">
        <v>9</v>
      </c>
      <c r="K528" s="64"/>
    </row>
    <row r="529" spans="1:10">
      <c r="A529">
        <v>1</v>
      </c>
      <c r="B529">
        <v>441</v>
      </c>
      <c r="C529" t="s">
        <v>2851</v>
      </c>
      <c r="D529">
        <v>31</v>
      </c>
      <c r="E529" t="s">
        <v>17</v>
      </c>
      <c r="F529">
        <v>2025</v>
      </c>
      <c r="G529" t="s">
        <v>1590</v>
      </c>
      <c r="H529" t="s">
        <v>1591</v>
      </c>
      <c r="I529" t="s">
        <v>2852</v>
      </c>
      <c r="J529" t="s">
        <v>1062</v>
      </c>
    </row>
    <row r="530" spans="1:10">
      <c r="A530">
        <v>2</v>
      </c>
      <c r="B530">
        <v>442</v>
      </c>
      <c r="C530" t="s">
        <v>2853</v>
      </c>
      <c r="D530">
        <v>31</v>
      </c>
      <c r="E530" t="s">
        <v>17</v>
      </c>
      <c r="F530">
        <v>2025</v>
      </c>
      <c r="G530" t="s">
        <v>783</v>
      </c>
      <c r="H530" t="s">
        <v>784</v>
      </c>
      <c r="I530" t="s">
        <v>785</v>
      </c>
      <c r="J530" t="s">
        <v>1062</v>
      </c>
    </row>
    <row r="531" spans="1:10">
      <c r="A531">
        <v>3</v>
      </c>
      <c r="B531">
        <v>443</v>
      </c>
      <c r="C531" t="s">
        <v>2854</v>
      </c>
      <c r="D531">
        <v>31</v>
      </c>
      <c r="E531" t="s">
        <v>17</v>
      </c>
      <c r="F531">
        <v>2025</v>
      </c>
      <c r="G531" t="s">
        <v>2855</v>
      </c>
      <c r="H531" t="s">
        <v>2856</v>
      </c>
      <c r="I531" t="s">
        <v>2857</v>
      </c>
      <c r="J531" t="s">
        <v>1062</v>
      </c>
    </row>
    <row r="532" spans="1:10">
      <c r="A532">
        <v>4</v>
      </c>
      <c r="B532">
        <v>444</v>
      </c>
      <c r="C532" t="s">
        <v>2858</v>
      </c>
      <c r="D532">
        <v>31</v>
      </c>
      <c r="E532" t="s">
        <v>17</v>
      </c>
      <c r="F532">
        <v>2025</v>
      </c>
      <c r="G532" t="s">
        <v>2859</v>
      </c>
      <c r="H532" t="s">
        <v>2860</v>
      </c>
      <c r="I532" t="s">
        <v>2861</v>
      </c>
      <c r="J532" t="s">
        <v>1062</v>
      </c>
    </row>
    <row r="533" spans="1:10">
      <c r="A533">
        <v>5</v>
      </c>
      <c r="B533">
        <v>445</v>
      </c>
      <c r="C533" t="s">
        <v>2862</v>
      </c>
      <c r="D533">
        <v>31</v>
      </c>
      <c r="E533" t="s">
        <v>17</v>
      </c>
      <c r="F533">
        <v>2025</v>
      </c>
      <c r="G533" t="s">
        <v>2863</v>
      </c>
      <c r="H533" t="s">
        <v>2864</v>
      </c>
      <c r="I533" t="s">
        <v>2865</v>
      </c>
      <c r="J533" t="s">
        <v>1062</v>
      </c>
    </row>
    <row r="534" spans="1:10">
      <c r="A534">
        <v>6</v>
      </c>
      <c r="B534">
        <v>446</v>
      </c>
      <c r="C534" t="s">
        <v>2866</v>
      </c>
      <c r="D534">
        <v>31</v>
      </c>
      <c r="E534" t="s">
        <v>17</v>
      </c>
      <c r="F534">
        <v>2025</v>
      </c>
      <c r="G534" t="s">
        <v>684</v>
      </c>
      <c r="H534" t="s">
        <v>685</v>
      </c>
      <c r="I534" t="s">
        <v>2867</v>
      </c>
      <c r="J534" t="s">
        <v>1062</v>
      </c>
    </row>
    <row r="535" spans="1:10">
      <c r="A535">
        <v>7</v>
      </c>
      <c r="B535">
        <v>447</v>
      </c>
      <c r="C535" t="s">
        <v>2868</v>
      </c>
      <c r="D535">
        <v>31</v>
      </c>
      <c r="E535" t="s">
        <v>17</v>
      </c>
      <c r="F535">
        <v>2025</v>
      </c>
      <c r="G535" t="s">
        <v>2869</v>
      </c>
      <c r="H535" t="s">
        <v>2870</v>
      </c>
      <c r="I535" t="s">
        <v>2871</v>
      </c>
      <c r="J535" t="s">
        <v>1062</v>
      </c>
    </row>
    <row r="536" spans="1:10">
      <c r="A536">
        <v>8</v>
      </c>
      <c r="B536">
        <v>448</v>
      </c>
      <c r="C536" t="s">
        <v>2872</v>
      </c>
      <c r="D536">
        <v>31</v>
      </c>
      <c r="E536" t="s">
        <v>17</v>
      </c>
      <c r="F536">
        <v>2025</v>
      </c>
      <c r="G536" t="s">
        <v>2873</v>
      </c>
      <c r="H536" t="s">
        <v>2874</v>
      </c>
      <c r="I536" t="s">
        <v>2875</v>
      </c>
      <c r="J536" t="s">
        <v>1062</v>
      </c>
    </row>
    <row r="537" spans="1:10">
      <c r="A537">
        <v>9</v>
      </c>
      <c r="B537">
        <v>449</v>
      </c>
      <c r="C537" t="s">
        <v>2876</v>
      </c>
      <c r="D537">
        <v>31</v>
      </c>
      <c r="E537" t="s">
        <v>17</v>
      </c>
      <c r="F537">
        <v>2025</v>
      </c>
      <c r="G537" t="s">
        <v>2877</v>
      </c>
      <c r="H537" t="s">
        <v>2878</v>
      </c>
      <c r="I537" t="s">
        <v>2879</v>
      </c>
      <c r="J537" t="s">
        <v>1062</v>
      </c>
    </row>
    <row r="538" spans="1:10">
      <c r="A538">
        <v>10</v>
      </c>
      <c r="B538">
        <v>450</v>
      </c>
      <c r="C538" t="s">
        <v>2880</v>
      </c>
      <c r="D538">
        <v>31</v>
      </c>
      <c r="E538" t="s">
        <v>17</v>
      </c>
      <c r="F538">
        <v>2025</v>
      </c>
      <c r="G538" t="s">
        <v>2307</v>
      </c>
      <c r="H538" t="s">
        <v>2308</v>
      </c>
      <c r="I538" t="s">
        <v>2881</v>
      </c>
      <c r="J538" t="s">
        <v>1062</v>
      </c>
    </row>
    <row r="539" spans="1:10">
      <c r="A539">
        <v>11</v>
      </c>
      <c r="B539">
        <v>451</v>
      </c>
      <c r="C539" t="s">
        <v>2882</v>
      </c>
      <c r="D539">
        <v>31</v>
      </c>
      <c r="E539" t="s">
        <v>17</v>
      </c>
      <c r="F539">
        <v>2025</v>
      </c>
      <c r="G539" t="s">
        <v>2883</v>
      </c>
      <c r="H539" t="s">
        <v>2884</v>
      </c>
      <c r="I539" t="s">
        <v>2885</v>
      </c>
      <c r="J539" t="s">
        <v>1062</v>
      </c>
    </row>
    <row r="540" spans="1:10">
      <c r="A540">
        <v>12</v>
      </c>
      <c r="B540">
        <v>452</v>
      </c>
      <c r="C540" t="s">
        <v>2925</v>
      </c>
      <c r="D540">
        <v>31</v>
      </c>
      <c r="E540" t="s">
        <v>17</v>
      </c>
      <c r="F540">
        <v>2025</v>
      </c>
      <c r="G540" t="s">
        <v>780</v>
      </c>
      <c r="H540" t="s">
        <v>831</v>
      </c>
      <c r="I540" t="s">
        <v>2886</v>
      </c>
      <c r="J540" t="s">
        <v>1062</v>
      </c>
    </row>
    <row r="541" spans="1:10">
      <c r="A541">
        <v>13</v>
      </c>
      <c r="B541">
        <v>453</v>
      </c>
      <c r="C541" t="s">
        <v>2887</v>
      </c>
      <c r="D541">
        <v>31</v>
      </c>
      <c r="E541" t="s">
        <v>17</v>
      </c>
      <c r="F541">
        <v>2025</v>
      </c>
      <c r="G541" t="s">
        <v>2888</v>
      </c>
      <c r="H541" t="s">
        <v>2889</v>
      </c>
      <c r="I541" t="s">
        <v>2890</v>
      </c>
      <c r="J541" t="s">
        <v>1062</v>
      </c>
    </row>
    <row r="542" spans="1:10">
      <c r="A542">
        <v>14</v>
      </c>
      <c r="B542">
        <v>454</v>
      </c>
      <c r="C542" t="s">
        <v>2891</v>
      </c>
      <c r="D542">
        <v>31</v>
      </c>
      <c r="E542" t="s">
        <v>17</v>
      </c>
      <c r="F542">
        <v>2025</v>
      </c>
      <c r="G542" t="s">
        <v>2892</v>
      </c>
      <c r="H542" t="s">
        <v>2893</v>
      </c>
      <c r="I542" t="s">
        <v>2894</v>
      </c>
      <c r="J542" t="s">
        <v>1062</v>
      </c>
    </row>
    <row r="543" spans="1:10">
      <c r="A543">
        <v>15</v>
      </c>
      <c r="B543">
        <v>455</v>
      </c>
      <c r="C543" t="s">
        <v>2895</v>
      </c>
      <c r="D543">
        <v>31</v>
      </c>
      <c r="E543" t="s">
        <v>17</v>
      </c>
      <c r="F543">
        <v>2025</v>
      </c>
      <c r="G543" t="s">
        <v>2896</v>
      </c>
      <c r="H543" t="s">
        <v>2897</v>
      </c>
      <c r="I543" t="s">
        <v>2898</v>
      </c>
      <c r="J543" t="s">
        <v>1062</v>
      </c>
    </row>
    <row r="544" spans="1:10">
      <c r="A544">
        <v>16</v>
      </c>
      <c r="B544">
        <v>456</v>
      </c>
      <c r="C544" t="s">
        <v>2899</v>
      </c>
      <c r="D544">
        <v>31</v>
      </c>
      <c r="E544" t="s">
        <v>17</v>
      </c>
      <c r="F544">
        <v>2025</v>
      </c>
      <c r="G544" t="s">
        <v>2900</v>
      </c>
      <c r="H544" t="s">
        <v>2901</v>
      </c>
      <c r="I544" t="s">
        <v>2902</v>
      </c>
      <c r="J544" t="s">
        <v>1062</v>
      </c>
    </row>
    <row r="545" spans="1:11">
      <c r="A545">
        <v>17</v>
      </c>
      <c r="B545">
        <v>457</v>
      </c>
      <c r="C545" t="s">
        <v>2903</v>
      </c>
      <c r="D545">
        <v>31</v>
      </c>
      <c r="E545" t="s">
        <v>17</v>
      </c>
      <c r="F545">
        <v>2025</v>
      </c>
      <c r="G545" t="s">
        <v>2904</v>
      </c>
      <c r="H545" t="s">
        <v>2905</v>
      </c>
      <c r="I545" t="s">
        <v>2906</v>
      </c>
      <c r="J545" t="s">
        <v>1062</v>
      </c>
    </row>
    <row r="546" spans="1:11">
      <c r="A546">
        <v>18</v>
      </c>
      <c r="B546">
        <v>458</v>
      </c>
      <c r="C546" t="s">
        <v>2907</v>
      </c>
      <c r="D546">
        <v>31</v>
      </c>
      <c r="E546" t="s">
        <v>17</v>
      </c>
      <c r="F546">
        <v>2025</v>
      </c>
      <c r="G546" t="s">
        <v>2908</v>
      </c>
      <c r="H546" t="s">
        <v>2909</v>
      </c>
      <c r="I546" t="s">
        <v>2910</v>
      </c>
      <c r="J546" t="s">
        <v>1062</v>
      </c>
    </row>
    <row r="547" spans="1:11">
      <c r="A547">
        <v>19</v>
      </c>
      <c r="B547">
        <v>459</v>
      </c>
      <c r="C547" t="s">
        <v>2911</v>
      </c>
      <c r="D547">
        <v>31</v>
      </c>
      <c r="E547" t="s">
        <v>17</v>
      </c>
      <c r="F547">
        <v>2025</v>
      </c>
      <c r="G547" t="s">
        <v>2912</v>
      </c>
      <c r="H547" t="s">
        <v>2913</v>
      </c>
      <c r="I547" t="s">
        <v>2914</v>
      </c>
      <c r="J547" t="s">
        <v>1062</v>
      </c>
    </row>
    <row r="548" spans="1:11">
      <c r="A548">
        <v>20</v>
      </c>
      <c r="B548">
        <v>460</v>
      </c>
      <c r="C548" t="s">
        <v>2915</v>
      </c>
      <c r="D548">
        <v>31</v>
      </c>
      <c r="E548" t="s">
        <v>17</v>
      </c>
      <c r="F548">
        <v>2025</v>
      </c>
      <c r="G548" t="s">
        <v>2916</v>
      </c>
      <c r="H548" t="s">
        <v>2917</v>
      </c>
      <c r="I548" t="s">
        <v>2918</v>
      </c>
      <c r="J548" t="s">
        <v>1062</v>
      </c>
    </row>
    <row r="549" spans="1:11">
      <c r="A549">
        <v>21</v>
      </c>
      <c r="B549">
        <v>461</v>
      </c>
      <c r="C549" t="s">
        <v>2919</v>
      </c>
      <c r="D549">
        <v>31</v>
      </c>
      <c r="E549" t="s">
        <v>17</v>
      </c>
      <c r="F549">
        <v>2025</v>
      </c>
      <c r="G549" t="s">
        <v>2920</v>
      </c>
      <c r="H549" t="s">
        <v>697</v>
      </c>
      <c r="I549" t="s">
        <v>2926</v>
      </c>
      <c r="J549" t="s">
        <v>1062</v>
      </c>
    </row>
    <row r="550" spans="1:11">
      <c r="A550">
        <v>22</v>
      </c>
      <c r="B550">
        <v>462</v>
      </c>
      <c r="C550" t="s">
        <v>2921</v>
      </c>
      <c r="D550">
        <v>31</v>
      </c>
      <c r="E550" t="s">
        <v>17</v>
      </c>
      <c r="F550">
        <v>2025</v>
      </c>
      <c r="G550" t="s">
        <v>2922</v>
      </c>
      <c r="H550" t="s">
        <v>2923</v>
      </c>
      <c r="I550" t="s">
        <v>2924</v>
      </c>
      <c r="J550" t="s">
        <v>1062</v>
      </c>
    </row>
    <row r="552" spans="1:11" s="77" customFormat="1" ht="18">
      <c r="B552"/>
      <c r="C552" s="77" t="s">
        <v>3043</v>
      </c>
    </row>
    <row r="553" spans="1:11" ht="18">
      <c r="B553" s="77"/>
      <c r="C553" s="10" t="s">
        <v>25</v>
      </c>
      <c r="D553" s="119" t="s">
        <v>10</v>
      </c>
      <c r="E553" s="119" t="s">
        <v>11</v>
      </c>
      <c r="F553" s="119" t="s">
        <v>12</v>
      </c>
      <c r="G553" s="2" t="s">
        <v>27</v>
      </c>
      <c r="H553" s="2" t="s">
        <v>26</v>
      </c>
      <c r="I553" s="2" t="s">
        <v>28</v>
      </c>
      <c r="J553" s="2" t="s">
        <v>9</v>
      </c>
      <c r="K553" s="64"/>
    </row>
    <row r="554" spans="1:11" s="12" customFormat="1">
      <c r="A554" s="12">
        <v>1</v>
      </c>
      <c r="B554">
        <v>463</v>
      </c>
      <c r="C554" s="121" t="s">
        <v>3188</v>
      </c>
      <c r="D554">
        <v>31</v>
      </c>
      <c r="E554" t="s">
        <v>17</v>
      </c>
      <c r="F554">
        <v>2025</v>
      </c>
      <c r="G554" s="122" t="s">
        <v>3044</v>
      </c>
      <c r="H554" s="122" t="s">
        <v>3045</v>
      </c>
      <c r="I554" s="122" t="s">
        <v>3046</v>
      </c>
      <c r="J554" s="12" t="s">
        <v>1062</v>
      </c>
    </row>
    <row r="555" spans="1:11" s="12" customFormat="1">
      <c r="A555" s="12">
        <v>2</v>
      </c>
      <c r="B555" s="12">
        <v>464</v>
      </c>
      <c r="C555" s="99" t="s">
        <v>2929</v>
      </c>
      <c r="D555">
        <v>31</v>
      </c>
      <c r="E555" t="s">
        <v>17</v>
      </c>
      <c r="F555">
        <v>2025</v>
      </c>
      <c r="G555" s="99" t="s">
        <v>2957</v>
      </c>
      <c r="H555" s="99" t="s">
        <v>2958</v>
      </c>
      <c r="I555" s="99" t="s">
        <v>2334</v>
      </c>
      <c r="J555" s="12" t="s">
        <v>1062</v>
      </c>
    </row>
    <row r="556" spans="1:11" s="12" customFormat="1">
      <c r="A556" s="12">
        <v>3</v>
      </c>
      <c r="B556" s="12">
        <v>465</v>
      </c>
      <c r="C556" s="99" t="s">
        <v>2930</v>
      </c>
      <c r="D556">
        <v>31</v>
      </c>
      <c r="E556" t="s">
        <v>17</v>
      </c>
      <c r="F556">
        <v>2025</v>
      </c>
      <c r="G556" s="99" t="s">
        <v>2959</v>
      </c>
      <c r="H556" s="99" t="s">
        <v>2960</v>
      </c>
      <c r="I556" s="99" t="s">
        <v>3011</v>
      </c>
      <c r="J556" s="12" t="s">
        <v>1062</v>
      </c>
    </row>
    <row r="557" spans="1:11" s="12" customFormat="1">
      <c r="A557" s="12">
        <v>4</v>
      </c>
      <c r="B557" s="12">
        <v>466</v>
      </c>
      <c r="C557" s="99" t="s">
        <v>2931</v>
      </c>
      <c r="D557">
        <v>31</v>
      </c>
      <c r="E557" t="s">
        <v>17</v>
      </c>
      <c r="F557">
        <v>2025</v>
      </c>
      <c r="G557" s="99" t="s">
        <v>2961</v>
      </c>
      <c r="H557" s="99" t="s">
        <v>2962</v>
      </c>
      <c r="I557" s="99" t="s">
        <v>3012</v>
      </c>
      <c r="J557" s="12" t="s">
        <v>1062</v>
      </c>
    </row>
    <row r="558" spans="1:11" s="12" customFormat="1">
      <c r="A558" s="12">
        <v>5</v>
      </c>
      <c r="B558" s="12">
        <v>467</v>
      </c>
      <c r="C558" s="99" t="s">
        <v>2932</v>
      </c>
      <c r="D558">
        <v>31</v>
      </c>
      <c r="E558" t="s">
        <v>17</v>
      </c>
      <c r="F558">
        <v>2025</v>
      </c>
      <c r="G558" s="99" t="s">
        <v>2963</v>
      </c>
      <c r="H558" s="99" t="s">
        <v>2964</v>
      </c>
      <c r="I558" s="99" t="s">
        <v>3013</v>
      </c>
      <c r="J558" s="12" t="s">
        <v>1062</v>
      </c>
    </row>
    <row r="559" spans="1:11" s="12" customFormat="1">
      <c r="A559" s="12">
        <v>6</v>
      </c>
      <c r="B559" s="12">
        <v>468</v>
      </c>
      <c r="C559" s="99" t="s">
        <v>3038</v>
      </c>
      <c r="D559">
        <v>31</v>
      </c>
      <c r="E559" t="s">
        <v>17</v>
      </c>
      <c r="F559">
        <v>2025</v>
      </c>
      <c r="G559" s="99" t="s">
        <v>3039</v>
      </c>
      <c r="H559" s="99" t="s">
        <v>2965</v>
      </c>
      <c r="I559" s="99" t="s">
        <v>3014</v>
      </c>
      <c r="J559" s="12" t="s">
        <v>1062</v>
      </c>
    </row>
    <row r="560" spans="1:11" s="12" customFormat="1">
      <c r="A560" s="12">
        <v>7</v>
      </c>
      <c r="B560" s="12">
        <v>469</v>
      </c>
      <c r="C560" s="99" t="s">
        <v>2933</v>
      </c>
      <c r="D560">
        <v>31</v>
      </c>
      <c r="E560" t="s">
        <v>17</v>
      </c>
      <c r="F560">
        <v>2025</v>
      </c>
      <c r="G560" s="99" t="s">
        <v>2966</v>
      </c>
      <c r="H560" s="99" t="s">
        <v>2967</v>
      </c>
      <c r="I560" s="99" t="s">
        <v>3015</v>
      </c>
      <c r="J560" s="12" t="s">
        <v>1062</v>
      </c>
    </row>
    <row r="561" spans="1:10" s="12" customFormat="1">
      <c r="A561" s="12">
        <v>8</v>
      </c>
      <c r="B561" s="12">
        <v>470</v>
      </c>
      <c r="C561" s="99" t="s">
        <v>2934</v>
      </c>
      <c r="D561">
        <v>31</v>
      </c>
      <c r="E561" t="s">
        <v>17</v>
      </c>
      <c r="F561">
        <v>2025</v>
      </c>
      <c r="G561" s="99" t="s">
        <v>2968</v>
      </c>
      <c r="H561" s="99" t="s">
        <v>3040</v>
      </c>
      <c r="I561" s="99" t="s">
        <v>3016</v>
      </c>
      <c r="J561" s="12" t="s">
        <v>1062</v>
      </c>
    </row>
    <row r="562" spans="1:10" s="12" customFormat="1">
      <c r="A562" s="12">
        <v>9</v>
      </c>
      <c r="B562" s="12">
        <v>471</v>
      </c>
      <c r="C562" s="99" t="s">
        <v>2935</v>
      </c>
      <c r="D562">
        <v>31</v>
      </c>
      <c r="E562" t="s">
        <v>17</v>
      </c>
      <c r="F562">
        <v>2025</v>
      </c>
      <c r="G562" s="99" t="s">
        <v>2969</v>
      </c>
      <c r="H562" s="99" t="s">
        <v>2970</v>
      </c>
      <c r="I562" s="99" t="s">
        <v>3017</v>
      </c>
      <c r="J562" s="12" t="s">
        <v>1062</v>
      </c>
    </row>
    <row r="563" spans="1:10" s="12" customFormat="1">
      <c r="A563" s="12">
        <v>10</v>
      </c>
      <c r="B563" s="12">
        <v>472</v>
      </c>
      <c r="C563" s="123" t="s">
        <v>2936</v>
      </c>
      <c r="D563">
        <v>31</v>
      </c>
      <c r="E563" t="s">
        <v>17</v>
      </c>
      <c r="F563">
        <v>2025</v>
      </c>
      <c r="G563" s="99" t="s">
        <v>2971</v>
      </c>
      <c r="H563" s="99" t="s">
        <v>2972</v>
      </c>
      <c r="I563" s="99" t="s">
        <v>3018</v>
      </c>
      <c r="J563" s="12" t="s">
        <v>1062</v>
      </c>
    </row>
    <row r="564" spans="1:10" s="12" customFormat="1">
      <c r="A564" s="12">
        <v>11</v>
      </c>
      <c r="B564" s="12">
        <v>473</v>
      </c>
      <c r="C564" s="99" t="s">
        <v>2937</v>
      </c>
      <c r="D564">
        <v>31</v>
      </c>
      <c r="E564" t="s">
        <v>17</v>
      </c>
      <c r="F564">
        <v>2025</v>
      </c>
      <c r="G564" s="99" t="s">
        <v>2973</v>
      </c>
      <c r="H564" s="99" t="s">
        <v>2974</v>
      </c>
      <c r="I564" s="99" t="s">
        <v>3019</v>
      </c>
      <c r="J564" s="12" t="s">
        <v>1062</v>
      </c>
    </row>
    <row r="565" spans="1:10" s="12" customFormat="1">
      <c r="A565" s="12">
        <v>12</v>
      </c>
      <c r="B565" s="12">
        <v>474</v>
      </c>
      <c r="C565" s="99" t="s">
        <v>2938</v>
      </c>
      <c r="D565">
        <v>31</v>
      </c>
      <c r="E565" t="s">
        <v>17</v>
      </c>
      <c r="F565">
        <v>2025</v>
      </c>
      <c r="G565" s="99" t="s">
        <v>2975</v>
      </c>
      <c r="H565" s="99" t="s">
        <v>2976</v>
      </c>
      <c r="I565" s="99" t="s">
        <v>3020</v>
      </c>
      <c r="J565" s="12" t="s">
        <v>1062</v>
      </c>
    </row>
    <row r="566" spans="1:10" s="12" customFormat="1">
      <c r="A566" s="12">
        <v>13</v>
      </c>
      <c r="B566" s="12">
        <v>475</v>
      </c>
      <c r="C566" s="99" t="s">
        <v>2939</v>
      </c>
      <c r="D566">
        <v>31</v>
      </c>
      <c r="E566" t="s">
        <v>17</v>
      </c>
      <c r="F566">
        <v>2025</v>
      </c>
      <c r="G566" s="99" t="s">
        <v>2977</v>
      </c>
      <c r="H566" s="99" t="s">
        <v>2978</v>
      </c>
      <c r="I566" s="99" t="s">
        <v>3021</v>
      </c>
      <c r="J566" s="12" t="s">
        <v>1062</v>
      </c>
    </row>
    <row r="567" spans="1:10" s="12" customFormat="1">
      <c r="A567" s="12">
        <v>14</v>
      </c>
      <c r="B567" s="12">
        <v>476</v>
      </c>
      <c r="C567" s="99" t="s">
        <v>2940</v>
      </c>
      <c r="D567">
        <v>31</v>
      </c>
      <c r="E567" t="s">
        <v>17</v>
      </c>
      <c r="F567">
        <v>2025</v>
      </c>
      <c r="G567" s="99" t="s">
        <v>2979</v>
      </c>
      <c r="H567" s="99" t="s">
        <v>2980</v>
      </c>
      <c r="I567" s="99" t="s">
        <v>3022</v>
      </c>
      <c r="J567" s="12" t="s">
        <v>1062</v>
      </c>
    </row>
    <row r="568" spans="1:10" s="12" customFormat="1">
      <c r="A568" s="12">
        <v>15</v>
      </c>
      <c r="B568" s="12">
        <v>477</v>
      </c>
      <c r="C568" s="99" t="s">
        <v>2941</v>
      </c>
      <c r="D568">
        <v>31</v>
      </c>
      <c r="E568" t="s">
        <v>17</v>
      </c>
      <c r="F568">
        <v>2025</v>
      </c>
      <c r="G568" s="99" t="s">
        <v>2981</v>
      </c>
      <c r="H568" s="99" t="s">
        <v>2982</v>
      </c>
      <c r="I568" s="99" t="s">
        <v>3023</v>
      </c>
      <c r="J568" s="12" t="s">
        <v>1062</v>
      </c>
    </row>
    <row r="569" spans="1:10" s="12" customFormat="1">
      <c r="A569" s="12">
        <v>16</v>
      </c>
      <c r="B569" s="12">
        <v>478</v>
      </c>
      <c r="C569" s="99" t="s">
        <v>2942</v>
      </c>
      <c r="D569">
        <v>31</v>
      </c>
      <c r="E569" t="s">
        <v>17</v>
      </c>
      <c r="F569">
        <v>2025</v>
      </c>
      <c r="G569" s="99" t="s">
        <v>2983</v>
      </c>
      <c r="H569" s="99" t="s">
        <v>2984</v>
      </c>
      <c r="I569" s="99" t="s">
        <v>3024</v>
      </c>
      <c r="J569" s="12" t="s">
        <v>1062</v>
      </c>
    </row>
    <row r="570" spans="1:10" s="12" customFormat="1">
      <c r="A570" s="12">
        <v>17</v>
      </c>
      <c r="B570" s="12">
        <v>479</v>
      </c>
      <c r="C570" s="99" t="s">
        <v>2943</v>
      </c>
      <c r="D570">
        <v>31</v>
      </c>
      <c r="E570" t="s">
        <v>17</v>
      </c>
      <c r="F570">
        <v>2025</v>
      </c>
      <c r="G570" s="99" t="s">
        <v>2985</v>
      </c>
      <c r="H570" s="99" t="s">
        <v>2986</v>
      </c>
      <c r="I570" s="99" t="s">
        <v>3025</v>
      </c>
      <c r="J570" s="12" t="s">
        <v>1062</v>
      </c>
    </row>
    <row r="571" spans="1:10" s="12" customFormat="1">
      <c r="A571" s="12">
        <v>18</v>
      </c>
      <c r="B571" s="12">
        <v>480</v>
      </c>
      <c r="C571" s="99" t="s">
        <v>2944</v>
      </c>
      <c r="D571">
        <v>31</v>
      </c>
      <c r="E571" t="s">
        <v>17</v>
      </c>
      <c r="F571">
        <v>2025</v>
      </c>
      <c r="G571" s="99" t="s">
        <v>2987</v>
      </c>
      <c r="H571" s="99" t="s">
        <v>2988</v>
      </c>
      <c r="I571" s="99" t="s">
        <v>3026</v>
      </c>
      <c r="J571" s="12" t="s">
        <v>1062</v>
      </c>
    </row>
    <row r="572" spans="1:10" s="12" customFormat="1">
      <c r="A572" s="12">
        <v>19</v>
      </c>
      <c r="B572" s="12">
        <v>481</v>
      </c>
      <c r="C572" s="99" t="s">
        <v>2945</v>
      </c>
      <c r="D572">
        <v>31</v>
      </c>
      <c r="E572" t="s">
        <v>17</v>
      </c>
      <c r="F572">
        <v>2025</v>
      </c>
      <c r="G572" s="99" t="s">
        <v>2989</v>
      </c>
      <c r="H572" s="99" t="s">
        <v>2990</v>
      </c>
      <c r="I572" s="99" t="s">
        <v>3208</v>
      </c>
      <c r="J572" s="12" t="s">
        <v>1062</v>
      </c>
    </row>
    <row r="573" spans="1:10" s="12" customFormat="1">
      <c r="A573" s="12">
        <v>20</v>
      </c>
      <c r="B573" s="12">
        <v>482</v>
      </c>
      <c r="C573" s="99" t="s">
        <v>2946</v>
      </c>
      <c r="D573">
        <v>31</v>
      </c>
      <c r="E573" t="s">
        <v>17</v>
      </c>
      <c r="F573">
        <v>2025</v>
      </c>
      <c r="G573" s="99" t="s">
        <v>2991</v>
      </c>
      <c r="H573" s="99" t="s">
        <v>2992</v>
      </c>
      <c r="I573" s="99" t="s">
        <v>3027</v>
      </c>
      <c r="J573" s="12" t="s">
        <v>1062</v>
      </c>
    </row>
    <row r="574" spans="1:10" s="12" customFormat="1">
      <c r="A574" s="12">
        <v>21</v>
      </c>
      <c r="B574" s="12">
        <v>483</v>
      </c>
      <c r="C574" s="99" t="s">
        <v>2947</v>
      </c>
      <c r="D574">
        <v>31</v>
      </c>
      <c r="E574" t="s">
        <v>17</v>
      </c>
      <c r="F574">
        <v>2025</v>
      </c>
      <c r="G574" s="99" t="s">
        <v>2993</v>
      </c>
      <c r="H574" s="99" t="s">
        <v>2994</v>
      </c>
      <c r="I574" s="99" t="s">
        <v>3028</v>
      </c>
      <c r="J574" s="12" t="s">
        <v>1062</v>
      </c>
    </row>
    <row r="575" spans="1:10" s="12" customFormat="1">
      <c r="A575" s="12">
        <v>22</v>
      </c>
      <c r="B575" s="12">
        <v>484</v>
      </c>
      <c r="C575" s="99" t="s">
        <v>2948</v>
      </c>
      <c r="D575">
        <v>31</v>
      </c>
      <c r="E575" t="s">
        <v>17</v>
      </c>
      <c r="F575">
        <v>2025</v>
      </c>
      <c r="G575" s="99" t="s">
        <v>2995</v>
      </c>
      <c r="H575" s="99" t="s">
        <v>2996</v>
      </c>
      <c r="I575" s="99" t="s">
        <v>3029</v>
      </c>
      <c r="J575" s="12" t="s">
        <v>1062</v>
      </c>
    </row>
    <row r="576" spans="1:10" s="12" customFormat="1">
      <c r="A576" s="12">
        <v>23</v>
      </c>
      <c r="B576" s="12">
        <v>485</v>
      </c>
      <c r="C576" s="99" t="s">
        <v>2949</v>
      </c>
      <c r="D576">
        <v>31</v>
      </c>
      <c r="E576" t="s">
        <v>17</v>
      </c>
      <c r="F576">
        <v>2025</v>
      </c>
      <c r="G576" s="99" t="s">
        <v>2997</v>
      </c>
      <c r="H576" s="99" t="s">
        <v>2998</v>
      </c>
      <c r="I576" s="99" t="s">
        <v>3030</v>
      </c>
      <c r="J576" s="12" t="s">
        <v>1062</v>
      </c>
    </row>
    <row r="577" spans="1:11" s="12" customFormat="1">
      <c r="A577" s="12">
        <v>24</v>
      </c>
      <c r="B577" s="12">
        <v>486</v>
      </c>
      <c r="C577" s="99" t="s">
        <v>2950</v>
      </c>
      <c r="D577">
        <v>31</v>
      </c>
      <c r="E577" t="s">
        <v>17</v>
      </c>
      <c r="F577">
        <v>2025</v>
      </c>
      <c r="G577" s="99" t="s">
        <v>2999</v>
      </c>
      <c r="H577" s="99" t="s">
        <v>3000</v>
      </c>
      <c r="I577" s="99" t="s">
        <v>3031</v>
      </c>
      <c r="J577" s="12" t="s">
        <v>1062</v>
      </c>
    </row>
    <row r="578" spans="1:11" s="12" customFormat="1">
      <c r="A578" s="12">
        <v>25</v>
      </c>
      <c r="B578" s="12">
        <v>487</v>
      </c>
      <c r="C578" s="99" t="s">
        <v>2814</v>
      </c>
      <c r="D578">
        <v>31</v>
      </c>
      <c r="E578" t="s">
        <v>17</v>
      </c>
      <c r="F578">
        <v>2025</v>
      </c>
      <c r="G578" s="99" t="s">
        <v>2815</v>
      </c>
      <c r="I578" s="99" t="s">
        <v>3032</v>
      </c>
      <c r="J578" s="12" t="s">
        <v>1062</v>
      </c>
    </row>
    <row r="579" spans="1:11" s="12" customFormat="1">
      <c r="A579" s="12">
        <v>26</v>
      </c>
      <c r="B579" s="12">
        <v>488</v>
      </c>
      <c r="C579" s="99" t="s">
        <v>2955</v>
      </c>
      <c r="D579">
        <v>31</v>
      </c>
      <c r="E579" t="s">
        <v>17</v>
      </c>
      <c r="F579">
        <v>2025</v>
      </c>
      <c r="G579" s="99" t="s">
        <v>3041</v>
      </c>
      <c r="H579" s="99" t="s">
        <v>3042</v>
      </c>
      <c r="I579" s="99" t="s">
        <v>3037</v>
      </c>
      <c r="J579" s="12" t="s">
        <v>1062</v>
      </c>
    </row>
    <row r="580" spans="1:11" s="12" customFormat="1">
      <c r="A580" s="12">
        <v>27</v>
      </c>
      <c r="B580" s="12">
        <v>489</v>
      </c>
      <c r="C580" s="99" t="s">
        <v>2951</v>
      </c>
      <c r="D580">
        <v>31</v>
      </c>
      <c r="E580" t="s">
        <v>17</v>
      </c>
      <c r="F580">
        <v>2025</v>
      </c>
      <c r="G580" s="99" t="s">
        <v>3001</v>
      </c>
      <c r="H580" s="99" t="s">
        <v>3002</v>
      </c>
      <c r="I580" s="99" t="s">
        <v>3033</v>
      </c>
      <c r="J580" s="12" t="s">
        <v>1062</v>
      </c>
    </row>
    <row r="581" spans="1:11" s="12" customFormat="1">
      <c r="A581" s="12">
        <v>28</v>
      </c>
      <c r="B581" s="12">
        <v>490</v>
      </c>
      <c r="C581" s="99" t="s">
        <v>2952</v>
      </c>
      <c r="D581">
        <v>31</v>
      </c>
      <c r="E581" t="s">
        <v>17</v>
      </c>
      <c r="F581">
        <v>2025</v>
      </c>
      <c r="G581" s="99" t="s">
        <v>3003</v>
      </c>
      <c r="H581" s="99" t="s">
        <v>3004</v>
      </c>
      <c r="I581" s="99" t="s">
        <v>3034</v>
      </c>
      <c r="J581" s="12" t="s">
        <v>1062</v>
      </c>
    </row>
    <row r="582" spans="1:11" s="12" customFormat="1">
      <c r="A582" s="12">
        <v>29</v>
      </c>
      <c r="B582" s="12">
        <v>491</v>
      </c>
      <c r="C582" s="99" t="s">
        <v>2953</v>
      </c>
      <c r="D582">
        <v>31</v>
      </c>
      <c r="E582" t="s">
        <v>17</v>
      </c>
      <c r="F582">
        <v>2025</v>
      </c>
      <c r="G582" s="99" t="s">
        <v>3005</v>
      </c>
      <c r="H582" s="99" t="s">
        <v>3006</v>
      </c>
      <c r="I582" s="99" t="s">
        <v>3035</v>
      </c>
      <c r="J582" s="12" t="s">
        <v>1062</v>
      </c>
    </row>
    <row r="583" spans="1:11">
      <c r="A583" s="12">
        <v>30</v>
      </c>
      <c r="B583" s="12">
        <v>492</v>
      </c>
      <c r="C583" s="99" t="s">
        <v>2954</v>
      </c>
      <c r="D583">
        <v>31</v>
      </c>
      <c r="E583" t="s">
        <v>17</v>
      </c>
      <c r="F583">
        <v>2025</v>
      </c>
      <c r="G583" s="99" t="s">
        <v>3007</v>
      </c>
      <c r="H583" s="99" t="s">
        <v>3008</v>
      </c>
      <c r="I583" s="99" t="s">
        <v>3036</v>
      </c>
      <c r="J583" s="12" t="s">
        <v>1062</v>
      </c>
    </row>
    <row r="584" spans="1:11" s="12" customFormat="1">
      <c r="A584" s="12">
        <v>31</v>
      </c>
      <c r="B584" s="12">
        <v>493</v>
      </c>
      <c r="C584" s="99" t="s">
        <v>2956</v>
      </c>
      <c r="D584">
        <v>31</v>
      </c>
      <c r="E584" t="s">
        <v>17</v>
      </c>
      <c r="F584">
        <v>2025</v>
      </c>
      <c r="G584" s="99" t="s">
        <v>3009</v>
      </c>
      <c r="H584" s="99" t="s">
        <v>3010</v>
      </c>
      <c r="I584" s="99" t="s">
        <v>3207</v>
      </c>
      <c r="J584" s="12" t="s">
        <v>1062</v>
      </c>
    </row>
    <row r="585" spans="1:11">
      <c r="C585" s="88"/>
      <c r="D585" s="88"/>
      <c r="E585" s="88"/>
      <c r="F585" s="88"/>
      <c r="G585" s="88"/>
      <c r="H585" s="88"/>
      <c r="I585" s="88"/>
    </row>
    <row r="586" spans="1:11" s="77" customFormat="1" ht="18">
      <c r="B586"/>
      <c r="C586" s="77" t="s">
        <v>2817</v>
      </c>
    </row>
    <row r="587" spans="1:11" ht="18">
      <c r="B587" s="77"/>
      <c r="C587" s="10" t="s">
        <v>25</v>
      </c>
      <c r="D587" s="120" t="s">
        <v>10</v>
      </c>
      <c r="E587" s="120" t="s">
        <v>11</v>
      </c>
      <c r="F587" s="120" t="s">
        <v>12</v>
      </c>
      <c r="G587" s="2" t="s">
        <v>27</v>
      </c>
      <c r="H587" s="2" t="s">
        <v>26</v>
      </c>
      <c r="I587" s="2" t="s">
        <v>28</v>
      </c>
      <c r="J587" s="2" t="s">
        <v>9</v>
      </c>
      <c r="K587" s="64"/>
    </row>
    <row r="588" spans="1:11">
      <c r="A588">
        <v>1</v>
      </c>
      <c r="B588" s="12">
        <v>494</v>
      </c>
      <c r="C588" t="s">
        <v>3048</v>
      </c>
      <c r="D588">
        <v>24</v>
      </c>
      <c r="E588" s="89" t="s">
        <v>17</v>
      </c>
      <c r="F588" s="89">
        <v>2025</v>
      </c>
      <c r="G588" t="s">
        <v>3049</v>
      </c>
      <c r="H588" t="s">
        <v>3050</v>
      </c>
      <c r="I588" t="s">
        <v>2383</v>
      </c>
      <c r="J588" s="12" t="s">
        <v>1062</v>
      </c>
    </row>
    <row r="589" spans="1:11">
      <c r="A589">
        <v>2</v>
      </c>
      <c r="B589">
        <v>495</v>
      </c>
      <c r="C589" t="s">
        <v>3051</v>
      </c>
      <c r="D589">
        <v>24</v>
      </c>
      <c r="E589" s="89" t="s">
        <v>17</v>
      </c>
      <c r="F589" s="89">
        <v>2025</v>
      </c>
      <c r="G589" t="s">
        <v>3052</v>
      </c>
      <c r="I589" t="s">
        <v>3053</v>
      </c>
      <c r="J589" s="12" t="s">
        <v>1062</v>
      </c>
    </row>
    <row r="590" spans="1:11">
      <c r="A590">
        <v>3</v>
      </c>
      <c r="B590">
        <v>496</v>
      </c>
      <c r="C590" t="s">
        <v>3054</v>
      </c>
      <c r="D590">
        <v>24</v>
      </c>
      <c r="E590" s="89" t="s">
        <v>17</v>
      </c>
      <c r="F590" s="89">
        <v>2025</v>
      </c>
      <c r="G590" t="s">
        <v>289</v>
      </c>
      <c r="H590" t="s">
        <v>290</v>
      </c>
      <c r="I590" t="s">
        <v>3055</v>
      </c>
      <c r="J590" s="12" t="s">
        <v>1062</v>
      </c>
    </row>
    <row r="591" spans="1:11">
      <c r="A591">
        <v>4</v>
      </c>
      <c r="B591">
        <v>497</v>
      </c>
      <c r="C591" t="s">
        <v>3056</v>
      </c>
      <c r="D591">
        <v>24</v>
      </c>
      <c r="E591" s="89" t="s">
        <v>17</v>
      </c>
      <c r="F591" s="89">
        <v>2025</v>
      </c>
      <c r="G591" t="s">
        <v>3057</v>
      </c>
      <c r="H591" t="s">
        <v>3058</v>
      </c>
      <c r="I591" t="s">
        <v>3059</v>
      </c>
      <c r="J591" s="12" t="s">
        <v>1062</v>
      </c>
    </row>
    <row r="592" spans="1:11">
      <c r="A592">
        <v>5</v>
      </c>
      <c r="B592">
        <v>498</v>
      </c>
      <c r="C592" t="s">
        <v>3060</v>
      </c>
      <c r="D592">
        <v>24</v>
      </c>
      <c r="E592" s="89" t="s">
        <v>17</v>
      </c>
      <c r="F592" s="89">
        <v>2025</v>
      </c>
      <c r="G592" t="s">
        <v>3061</v>
      </c>
      <c r="H592" t="s">
        <v>3062</v>
      </c>
      <c r="I592" t="s">
        <v>3063</v>
      </c>
      <c r="J592" s="12" t="s">
        <v>1062</v>
      </c>
    </row>
    <row r="593" spans="1:11">
      <c r="A593">
        <v>6</v>
      </c>
      <c r="B593">
        <v>499</v>
      </c>
      <c r="C593" t="s">
        <v>3064</v>
      </c>
      <c r="D593">
        <v>24</v>
      </c>
      <c r="E593" s="89" t="s">
        <v>17</v>
      </c>
      <c r="F593" s="89">
        <v>2025</v>
      </c>
      <c r="G593" t="s">
        <v>3065</v>
      </c>
      <c r="H593" t="s">
        <v>1075</v>
      </c>
      <c r="I593" t="s">
        <v>3066</v>
      </c>
      <c r="J593" s="12" t="s">
        <v>1062</v>
      </c>
    </row>
    <row r="594" spans="1:11">
      <c r="A594">
        <v>7</v>
      </c>
      <c r="B594">
        <v>500</v>
      </c>
      <c r="C594" t="s">
        <v>3067</v>
      </c>
      <c r="D594">
        <v>24</v>
      </c>
      <c r="E594" s="89" t="s">
        <v>17</v>
      </c>
      <c r="F594" s="89">
        <v>2025</v>
      </c>
      <c r="G594" t="s">
        <v>3068</v>
      </c>
      <c r="H594" t="s">
        <v>3069</v>
      </c>
      <c r="I594" s="12" t="s">
        <v>3143</v>
      </c>
      <c r="J594" s="12" t="s">
        <v>1062</v>
      </c>
    </row>
    <row r="595" spans="1:11">
      <c r="A595">
        <v>8</v>
      </c>
      <c r="B595">
        <v>501</v>
      </c>
      <c r="C595" t="s">
        <v>3070</v>
      </c>
      <c r="D595">
        <v>24</v>
      </c>
      <c r="E595" s="89" t="s">
        <v>17</v>
      </c>
      <c r="F595" s="89">
        <v>2025</v>
      </c>
      <c r="G595" t="s">
        <v>3071</v>
      </c>
      <c r="H595" t="s">
        <v>1084</v>
      </c>
      <c r="I595" s="12" t="s">
        <v>3144</v>
      </c>
      <c r="J595" s="12" t="s">
        <v>1062</v>
      </c>
    </row>
    <row r="596" spans="1:11">
      <c r="A596">
        <v>9</v>
      </c>
      <c r="B596">
        <v>502</v>
      </c>
      <c r="C596" t="s">
        <v>3072</v>
      </c>
      <c r="D596">
        <v>24</v>
      </c>
      <c r="E596" s="89" t="s">
        <v>17</v>
      </c>
      <c r="F596" s="89">
        <v>2025</v>
      </c>
      <c r="G596" t="s">
        <v>3073</v>
      </c>
      <c r="H596" t="s">
        <v>3074</v>
      </c>
      <c r="I596" t="s">
        <v>3075</v>
      </c>
      <c r="J596" s="12" t="s">
        <v>1062</v>
      </c>
    </row>
    <row r="597" spans="1:11">
      <c r="A597">
        <v>10</v>
      </c>
      <c r="B597">
        <v>503</v>
      </c>
      <c r="C597" t="s">
        <v>3076</v>
      </c>
      <c r="D597">
        <v>24</v>
      </c>
      <c r="E597" s="89" t="s">
        <v>17</v>
      </c>
      <c r="F597" s="89">
        <v>2025</v>
      </c>
      <c r="G597" t="s">
        <v>3077</v>
      </c>
      <c r="H597" t="s">
        <v>3078</v>
      </c>
      <c r="I597" t="s">
        <v>3079</v>
      </c>
      <c r="J597" s="12" t="s">
        <v>1062</v>
      </c>
    </row>
    <row r="598" spans="1:11">
      <c r="A598">
        <v>11</v>
      </c>
      <c r="B598">
        <v>504</v>
      </c>
      <c r="C598" t="s">
        <v>3080</v>
      </c>
      <c r="D598">
        <v>24</v>
      </c>
      <c r="E598" s="89" t="s">
        <v>17</v>
      </c>
      <c r="F598" s="89">
        <v>2025</v>
      </c>
      <c r="G598" t="s">
        <v>3081</v>
      </c>
      <c r="H598" t="s">
        <v>3082</v>
      </c>
      <c r="I598" t="s">
        <v>3083</v>
      </c>
      <c r="J598" s="12" t="s">
        <v>1062</v>
      </c>
    </row>
    <row r="599" spans="1:11">
      <c r="J599" s="12"/>
    </row>
    <row r="600" spans="1:11" s="77" customFormat="1" ht="18">
      <c r="B600"/>
      <c r="C600" s="77" t="s">
        <v>3047</v>
      </c>
    </row>
    <row r="601" spans="1:11" ht="18">
      <c r="B601" s="77"/>
      <c r="C601" s="10" t="s">
        <v>25</v>
      </c>
      <c r="D601" s="120" t="s">
        <v>10</v>
      </c>
      <c r="E601" s="120" t="s">
        <v>11</v>
      </c>
      <c r="F601" s="120" t="s">
        <v>12</v>
      </c>
      <c r="G601" s="2" t="s">
        <v>27</v>
      </c>
      <c r="H601" s="2" t="s">
        <v>26</v>
      </c>
      <c r="I601" s="2" t="s">
        <v>28</v>
      </c>
      <c r="J601" s="2" t="s">
        <v>9</v>
      </c>
      <c r="K601" s="64"/>
    </row>
    <row r="602" spans="1:11">
      <c r="A602">
        <v>1</v>
      </c>
      <c r="B602">
        <v>505</v>
      </c>
      <c r="C602" t="s">
        <v>3084</v>
      </c>
      <c r="D602">
        <v>24</v>
      </c>
      <c r="E602" t="s">
        <v>17</v>
      </c>
      <c r="F602">
        <v>2025</v>
      </c>
      <c r="G602" t="s">
        <v>3085</v>
      </c>
      <c r="H602" t="s">
        <v>3086</v>
      </c>
      <c r="I602" t="s">
        <v>3075</v>
      </c>
      <c r="J602" s="12" t="s">
        <v>1062</v>
      </c>
    </row>
    <row r="603" spans="1:11">
      <c r="A603">
        <v>2</v>
      </c>
      <c r="B603">
        <v>506</v>
      </c>
      <c r="C603" t="s">
        <v>3087</v>
      </c>
      <c r="D603">
        <v>24</v>
      </c>
      <c r="E603" t="s">
        <v>17</v>
      </c>
      <c r="F603">
        <v>2025</v>
      </c>
      <c r="G603" t="s">
        <v>3088</v>
      </c>
      <c r="H603" t="s">
        <v>3089</v>
      </c>
      <c r="I603" t="s">
        <v>3090</v>
      </c>
      <c r="J603" s="12" t="s">
        <v>1062</v>
      </c>
    </row>
    <row r="604" spans="1:11">
      <c r="A604">
        <v>3</v>
      </c>
      <c r="B604">
        <v>507</v>
      </c>
      <c r="C604" t="s">
        <v>3091</v>
      </c>
      <c r="D604">
        <v>24</v>
      </c>
      <c r="E604" t="s">
        <v>17</v>
      </c>
      <c r="F604">
        <v>2025</v>
      </c>
      <c r="G604" t="s">
        <v>3092</v>
      </c>
      <c r="H604" t="s">
        <v>3093</v>
      </c>
      <c r="I604" t="s">
        <v>3094</v>
      </c>
      <c r="J604" s="12" t="s">
        <v>1062</v>
      </c>
    </row>
    <row r="605" spans="1:11">
      <c r="A605">
        <v>4</v>
      </c>
      <c r="B605">
        <v>508</v>
      </c>
      <c r="C605" t="s">
        <v>3095</v>
      </c>
      <c r="D605">
        <v>24</v>
      </c>
      <c r="E605" t="s">
        <v>17</v>
      </c>
      <c r="F605">
        <v>2025</v>
      </c>
      <c r="G605" t="s">
        <v>3096</v>
      </c>
      <c r="H605" t="s">
        <v>3097</v>
      </c>
      <c r="I605" t="s">
        <v>3098</v>
      </c>
      <c r="J605" s="12" t="s">
        <v>1062</v>
      </c>
    </row>
    <row r="606" spans="1:11">
      <c r="A606">
        <v>5</v>
      </c>
      <c r="B606">
        <v>509</v>
      </c>
      <c r="C606" t="s">
        <v>3099</v>
      </c>
      <c r="D606">
        <v>24</v>
      </c>
      <c r="E606" t="s">
        <v>17</v>
      </c>
      <c r="F606">
        <v>2025</v>
      </c>
      <c r="G606" t="s">
        <v>3100</v>
      </c>
      <c r="H606" t="s">
        <v>3101</v>
      </c>
      <c r="I606" t="s">
        <v>3102</v>
      </c>
      <c r="J606" s="12" t="s">
        <v>1062</v>
      </c>
    </row>
    <row r="607" spans="1:11">
      <c r="A607">
        <v>6</v>
      </c>
      <c r="B607">
        <v>510</v>
      </c>
      <c r="C607" t="s">
        <v>3103</v>
      </c>
      <c r="D607">
        <v>24</v>
      </c>
      <c r="E607" t="s">
        <v>17</v>
      </c>
      <c r="F607">
        <v>2025</v>
      </c>
      <c r="G607" t="s">
        <v>3104</v>
      </c>
      <c r="H607" t="s">
        <v>3105</v>
      </c>
      <c r="I607" t="s">
        <v>2502</v>
      </c>
      <c r="J607" s="12" t="s">
        <v>1062</v>
      </c>
    </row>
    <row r="608" spans="1:11">
      <c r="A608">
        <v>7</v>
      </c>
      <c r="B608">
        <v>511</v>
      </c>
      <c r="C608" s="12" t="s">
        <v>3142</v>
      </c>
      <c r="D608">
        <v>24</v>
      </c>
      <c r="E608" t="s">
        <v>17</v>
      </c>
      <c r="F608">
        <v>2025</v>
      </c>
      <c r="G608" t="s">
        <v>3106</v>
      </c>
      <c r="H608" t="s">
        <v>3107</v>
      </c>
      <c r="I608" t="s">
        <v>3108</v>
      </c>
      <c r="J608" s="12" t="s">
        <v>1062</v>
      </c>
    </row>
    <row r="609" spans="1:11">
      <c r="A609">
        <v>8</v>
      </c>
      <c r="B609">
        <v>512</v>
      </c>
      <c r="C609" t="s">
        <v>3109</v>
      </c>
      <c r="D609">
        <v>24</v>
      </c>
      <c r="E609" t="s">
        <v>17</v>
      </c>
      <c r="F609">
        <v>2025</v>
      </c>
      <c r="G609" t="s">
        <v>3110</v>
      </c>
      <c r="H609" t="s">
        <v>3111</v>
      </c>
      <c r="I609" t="s">
        <v>3112</v>
      </c>
      <c r="J609" s="12" t="s">
        <v>1062</v>
      </c>
    </row>
    <row r="610" spans="1:11">
      <c r="A610">
        <v>9</v>
      </c>
      <c r="B610">
        <v>513</v>
      </c>
      <c r="C610" t="s">
        <v>3113</v>
      </c>
      <c r="D610">
        <v>24</v>
      </c>
      <c r="E610" t="s">
        <v>17</v>
      </c>
      <c r="F610">
        <v>2025</v>
      </c>
      <c r="G610" t="s">
        <v>3081</v>
      </c>
      <c r="H610" t="s">
        <v>3082</v>
      </c>
      <c r="I610" t="s">
        <v>3083</v>
      </c>
      <c r="J610" s="12" t="s">
        <v>1062</v>
      </c>
    </row>
    <row r="611" spans="1:11">
      <c r="A611">
        <v>10</v>
      </c>
      <c r="B611">
        <v>514</v>
      </c>
      <c r="C611" t="s">
        <v>3114</v>
      </c>
      <c r="D611">
        <v>24</v>
      </c>
      <c r="E611" t="s">
        <v>17</v>
      </c>
      <c r="F611">
        <v>2025</v>
      </c>
      <c r="G611" t="s">
        <v>3115</v>
      </c>
      <c r="H611" t="s">
        <v>3116</v>
      </c>
      <c r="I611" t="s">
        <v>3117</v>
      </c>
      <c r="J611" s="12" t="s">
        <v>1062</v>
      </c>
    </row>
    <row r="612" spans="1:11">
      <c r="A612">
        <v>11</v>
      </c>
      <c r="B612">
        <v>515</v>
      </c>
      <c r="C612" t="s">
        <v>3118</v>
      </c>
      <c r="D612">
        <v>24</v>
      </c>
      <c r="E612" t="s">
        <v>17</v>
      </c>
      <c r="F612">
        <v>2025</v>
      </c>
      <c r="G612" t="s">
        <v>3119</v>
      </c>
      <c r="H612" t="s">
        <v>3120</v>
      </c>
      <c r="I612" t="s">
        <v>3121</v>
      </c>
      <c r="J612" s="12" t="s">
        <v>1062</v>
      </c>
    </row>
    <row r="613" spans="1:11">
      <c r="A613">
        <v>12</v>
      </c>
      <c r="B613">
        <v>516</v>
      </c>
      <c r="C613" t="s">
        <v>3122</v>
      </c>
      <c r="D613">
        <v>24</v>
      </c>
      <c r="E613" t="s">
        <v>17</v>
      </c>
      <c r="F613">
        <v>2025</v>
      </c>
      <c r="G613" t="s">
        <v>3123</v>
      </c>
      <c r="H613" t="s">
        <v>2053</v>
      </c>
      <c r="I613" t="s">
        <v>3124</v>
      </c>
      <c r="J613" s="12" t="s">
        <v>1062</v>
      </c>
    </row>
    <row r="614" spans="1:11">
      <c r="A614">
        <v>13</v>
      </c>
      <c r="B614">
        <v>517</v>
      </c>
      <c r="C614" t="s">
        <v>2498</v>
      </c>
      <c r="D614">
        <v>24</v>
      </c>
      <c r="E614" t="s">
        <v>17</v>
      </c>
      <c r="F614">
        <v>2025</v>
      </c>
      <c r="G614" t="s">
        <v>2500</v>
      </c>
      <c r="H614" t="s">
        <v>2501</v>
      </c>
      <c r="I614" t="s">
        <v>2502</v>
      </c>
      <c r="J614" s="12" t="s">
        <v>1062</v>
      </c>
    </row>
    <row r="615" spans="1:11">
      <c r="A615">
        <v>14</v>
      </c>
      <c r="B615">
        <v>518</v>
      </c>
      <c r="C615" t="s">
        <v>3125</v>
      </c>
      <c r="D615">
        <v>24</v>
      </c>
      <c r="E615" t="s">
        <v>17</v>
      </c>
      <c r="F615">
        <v>2025</v>
      </c>
      <c r="G615" t="s">
        <v>3126</v>
      </c>
      <c r="H615" t="s">
        <v>3127</v>
      </c>
      <c r="I615" t="s">
        <v>3128</v>
      </c>
      <c r="J615" s="12" t="s">
        <v>1062</v>
      </c>
    </row>
    <row r="616" spans="1:11">
      <c r="A616">
        <v>15</v>
      </c>
      <c r="B616">
        <v>519</v>
      </c>
      <c r="C616" t="s">
        <v>3129</v>
      </c>
      <c r="D616">
        <v>24</v>
      </c>
      <c r="E616" t="s">
        <v>17</v>
      </c>
      <c r="F616">
        <v>2025</v>
      </c>
      <c r="G616" t="s">
        <v>3130</v>
      </c>
      <c r="H616" t="s">
        <v>3131</v>
      </c>
      <c r="I616" t="s">
        <v>3132</v>
      </c>
      <c r="J616" s="12" t="s">
        <v>1062</v>
      </c>
    </row>
    <row r="617" spans="1:11">
      <c r="J617" s="12" t="s">
        <v>1062</v>
      </c>
    </row>
    <row r="618" spans="1:11" s="77" customFormat="1" ht="18">
      <c r="B618"/>
      <c r="C618" s="77" t="s">
        <v>3644</v>
      </c>
    </row>
    <row r="619" spans="1:11" ht="18">
      <c r="B619" s="77"/>
      <c r="C619" s="10" t="s">
        <v>25</v>
      </c>
      <c r="D619" s="124" t="s">
        <v>10</v>
      </c>
      <c r="E619" s="124" t="s">
        <v>11</v>
      </c>
      <c r="F619" s="124" t="s">
        <v>12</v>
      </c>
      <c r="G619" s="2" t="s">
        <v>27</v>
      </c>
      <c r="H619" s="2" t="s">
        <v>26</v>
      </c>
      <c r="I619" s="2" t="s">
        <v>28</v>
      </c>
      <c r="J619" s="2" t="s">
        <v>9</v>
      </c>
      <c r="K619" s="64"/>
    </row>
    <row r="620" spans="1:11">
      <c r="A620">
        <v>1</v>
      </c>
      <c r="B620">
        <v>520</v>
      </c>
      <c r="C620" t="s">
        <v>3149</v>
      </c>
      <c r="D620">
        <v>30</v>
      </c>
      <c r="E620" t="s">
        <v>17</v>
      </c>
      <c r="F620">
        <v>2025</v>
      </c>
      <c r="G620" t="s">
        <v>3150</v>
      </c>
      <c r="H620" t="s">
        <v>3151</v>
      </c>
      <c r="I620" t="s">
        <v>3152</v>
      </c>
      <c r="J620" s="12" t="s">
        <v>1062</v>
      </c>
    </row>
    <row r="621" spans="1:11">
      <c r="A621">
        <v>2</v>
      </c>
      <c r="B621">
        <v>521</v>
      </c>
      <c r="C621" t="s">
        <v>130</v>
      </c>
      <c r="D621">
        <v>30</v>
      </c>
      <c r="E621" t="s">
        <v>17</v>
      </c>
      <c r="F621">
        <v>2025</v>
      </c>
      <c r="G621" t="s">
        <v>131</v>
      </c>
      <c r="H621" t="s">
        <v>1435</v>
      </c>
      <c r="I621" t="s">
        <v>3153</v>
      </c>
      <c r="J621" s="12" t="s">
        <v>1062</v>
      </c>
    </row>
    <row r="622" spans="1:11">
      <c r="A622">
        <v>3</v>
      </c>
      <c r="B622">
        <v>522</v>
      </c>
      <c r="C622" t="s">
        <v>2845</v>
      </c>
      <c r="D622">
        <v>30</v>
      </c>
      <c r="E622" t="s">
        <v>17</v>
      </c>
      <c r="F622">
        <v>2025</v>
      </c>
      <c r="G622" t="s">
        <v>3185</v>
      </c>
      <c r="H622" t="s">
        <v>3186</v>
      </c>
      <c r="I622" t="s">
        <v>3187</v>
      </c>
      <c r="J622" s="12" t="s">
        <v>1062</v>
      </c>
    </row>
    <row r="623" spans="1:11">
      <c r="A623">
        <v>4</v>
      </c>
      <c r="B623">
        <v>523</v>
      </c>
      <c r="C623" t="s">
        <v>3154</v>
      </c>
      <c r="D623">
        <v>30</v>
      </c>
      <c r="E623" t="s">
        <v>17</v>
      </c>
      <c r="F623">
        <v>2025</v>
      </c>
      <c r="G623" t="s">
        <v>3155</v>
      </c>
      <c r="H623" t="s">
        <v>3156</v>
      </c>
      <c r="I623" t="s">
        <v>597</v>
      </c>
      <c r="J623" s="12" t="s">
        <v>1062</v>
      </c>
    </row>
    <row r="624" spans="1:11">
      <c r="A624">
        <v>5</v>
      </c>
      <c r="B624">
        <v>524</v>
      </c>
      <c r="C624" t="s">
        <v>3157</v>
      </c>
      <c r="D624">
        <v>30</v>
      </c>
      <c r="E624" t="s">
        <v>17</v>
      </c>
      <c r="F624">
        <v>2025</v>
      </c>
      <c r="G624" t="s">
        <v>1855</v>
      </c>
      <c r="H624" t="s">
        <v>1856</v>
      </c>
      <c r="I624" t="s">
        <v>3158</v>
      </c>
      <c r="J624" s="12" t="s">
        <v>1062</v>
      </c>
    </row>
    <row r="625" spans="1:11">
      <c r="A625">
        <v>6</v>
      </c>
      <c r="B625">
        <v>525</v>
      </c>
      <c r="C625" t="s">
        <v>3159</v>
      </c>
      <c r="D625">
        <v>30</v>
      </c>
      <c r="E625" t="s">
        <v>17</v>
      </c>
      <c r="F625">
        <v>2025</v>
      </c>
      <c r="G625" t="s">
        <v>3160</v>
      </c>
      <c r="H625" t="s">
        <v>3161</v>
      </c>
      <c r="I625" t="s">
        <v>3162</v>
      </c>
      <c r="J625" s="12" t="s">
        <v>1062</v>
      </c>
    </row>
    <row r="626" spans="1:11">
      <c r="A626">
        <v>7</v>
      </c>
      <c r="B626">
        <v>526</v>
      </c>
      <c r="C626" t="s">
        <v>3181</v>
      </c>
      <c r="D626">
        <v>30</v>
      </c>
      <c r="E626" t="s">
        <v>17</v>
      </c>
      <c r="F626">
        <v>2025</v>
      </c>
      <c r="G626" t="s">
        <v>3182</v>
      </c>
      <c r="H626" t="s">
        <v>3183</v>
      </c>
      <c r="I626" t="s">
        <v>3184</v>
      </c>
      <c r="J626" s="12" t="s">
        <v>1062</v>
      </c>
    </row>
    <row r="627" spans="1:11">
      <c r="A627">
        <v>8</v>
      </c>
      <c r="B627">
        <v>527</v>
      </c>
      <c r="C627" t="s">
        <v>3163</v>
      </c>
      <c r="D627">
        <v>30</v>
      </c>
      <c r="E627" t="s">
        <v>17</v>
      </c>
      <c r="F627">
        <v>2025</v>
      </c>
      <c r="G627" t="s">
        <v>3164</v>
      </c>
      <c r="H627" t="s">
        <v>3165</v>
      </c>
      <c r="I627" t="s">
        <v>3166</v>
      </c>
      <c r="J627" s="12" t="s">
        <v>1062</v>
      </c>
    </row>
    <row r="628" spans="1:11">
      <c r="A628">
        <v>9</v>
      </c>
      <c r="B628">
        <v>528</v>
      </c>
      <c r="C628" t="s">
        <v>3167</v>
      </c>
      <c r="D628">
        <v>30</v>
      </c>
      <c r="E628" t="s">
        <v>17</v>
      </c>
      <c r="F628">
        <v>2025</v>
      </c>
      <c r="G628" t="s">
        <v>3168</v>
      </c>
      <c r="H628" t="s">
        <v>3169</v>
      </c>
      <c r="I628" t="s">
        <v>3170</v>
      </c>
      <c r="J628" s="12" t="s">
        <v>1062</v>
      </c>
    </row>
    <row r="629" spans="1:11">
      <c r="A629">
        <v>10</v>
      </c>
      <c r="B629">
        <v>529</v>
      </c>
      <c r="C629" t="s">
        <v>3171</v>
      </c>
      <c r="D629">
        <v>30</v>
      </c>
      <c r="E629" t="s">
        <v>17</v>
      </c>
      <c r="F629">
        <v>2025</v>
      </c>
      <c r="G629" t="s">
        <v>3172</v>
      </c>
      <c r="H629" t="s">
        <v>3173</v>
      </c>
      <c r="I629" t="s">
        <v>3176</v>
      </c>
      <c r="J629" s="12" t="s">
        <v>1062</v>
      </c>
    </row>
    <row r="630" spans="1:11">
      <c r="A630">
        <v>11</v>
      </c>
      <c r="B630">
        <v>530</v>
      </c>
      <c r="C630" t="s">
        <v>3174</v>
      </c>
      <c r="D630">
        <v>30</v>
      </c>
      <c r="E630" t="s">
        <v>17</v>
      </c>
      <c r="F630">
        <v>2025</v>
      </c>
      <c r="G630" t="s">
        <v>1999</v>
      </c>
      <c r="H630" t="s">
        <v>2000</v>
      </c>
      <c r="I630" t="s">
        <v>3175</v>
      </c>
      <c r="J630" s="12" t="s">
        <v>1062</v>
      </c>
    </row>
    <row r="631" spans="1:11">
      <c r="A631">
        <v>12</v>
      </c>
      <c r="B631">
        <v>531</v>
      </c>
      <c r="C631" t="s">
        <v>3177</v>
      </c>
      <c r="D631">
        <v>30</v>
      </c>
      <c r="E631" t="s">
        <v>17</v>
      </c>
      <c r="F631">
        <v>2025</v>
      </c>
      <c r="G631" t="s">
        <v>3178</v>
      </c>
      <c r="H631" t="s">
        <v>3179</v>
      </c>
      <c r="I631" t="s">
        <v>3180</v>
      </c>
      <c r="J631" s="12" t="s">
        <v>1062</v>
      </c>
    </row>
    <row r="633" spans="1:11" s="77" customFormat="1" ht="18">
      <c r="B633"/>
      <c r="C633" s="77" t="s">
        <v>3737</v>
      </c>
    </row>
    <row r="634" spans="1:11" ht="18">
      <c r="B634" s="77"/>
      <c r="C634" s="10" t="s">
        <v>25</v>
      </c>
      <c r="D634" s="125" t="s">
        <v>10</v>
      </c>
      <c r="E634" s="125" t="s">
        <v>11</v>
      </c>
      <c r="F634" s="125" t="s">
        <v>12</v>
      </c>
      <c r="G634" s="2" t="s">
        <v>27</v>
      </c>
      <c r="H634" s="2" t="s">
        <v>26</v>
      </c>
      <c r="I634" s="2" t="s">
        <v>28</v>
      </c>
      <c r="J634" s="2" t="s">
        <v>9</v>
      </c>
      <c r="K634" s="64"/>
    </row>
    <row r="635" spans="1:11">
      <c r="A635">
        <v>1</v>
      </c>
      <c r="B635">
        <v>532</v>
      </c>
      <c r="C635" s="88" t="s">
        <v>3457</v>
      </c>
      <c r="D635">
        <v>11</v>
      </c>
      <c r="E635" t="s">
        <v>18</v>
      </c>
      <c r="F635">
        <v>2025</v>
      </c>
      <c r="G635" t="s">
        <v>3458</v>
      </c>
      <c r="H635" t="s">
        <v>3459</v>
      </c>
      <c r="I635" t="s">
        <v>2614</v>
      </c>
      <c r="J635" s="12" t="s">
        <v>1062</v>
      </c>
    </row>
    <row r="636" spans="1:11">
      <c r="A636">
        <v>2</v>
      </c>
      <c r="B636">
        <v>533</v>
      </c>
      <c r="C636" s="88" t="s">
        <v>3200</v>
      </c>
      <c r="D636">
        <v>11</v>
      </c>
      <c r="E636" t="s">
        <v>18</v>
      </c>
      <c r="F636">
        <v>2025</v>
      </c>
      <c r="G636" t="s">
        <v>3460</v>
      </c>
      <c r="I636" t="s">
        <v>3461</v>
      </c>
      <c r="J636" s="12" t="s">
        <v>1062</v>
      </c>
    </row>
    <row r="637" spans="1:11">
      <c r="A637">
        <v>3</v>
      </c>
      <c r="B637">
        <v>534</v>
      </c>
      <c r="C637" s="89" t="s">
        <v>3456</v>
      </c>
      <c r="D637">
        <v>11</v>
      </c>
      <c r="E637" t="s">
        <v>18</v>
      </c>
      <c r="F637">
        <v>2025</v>
      </c>
      <c r="G637" t="s">
        <v>3462</v>
      </c>
      <c r="H637" t="s">
        <v>3463</v>
      </c>
      <c r="I637" s="12" t="s">
        <v>3491</v>
      </c>
      <c r="J637" s="12" t="s">
        <v>1062</v>
      </c>
    </row>
    <row r="638" spans="1:11">
      <c r="A638">
        <v>4</v>
      </c>
      <c r="B638">
        <v>535</v>
      </c>
      <c r="C638" s="89" t="s">
        <v>3464</v>
      </c>
      <c r="D638">
        <v>11</v>
      </c>
      <c r="E638" t="s">
        <v>18</v>
      </c>
      <c r="F638">
        <v>2025</v>
      </c>
      <c r="G638" t="s">
        <v>3465</v>
      </c>
      <c r="H638" t="s">
        <v>3466</v>
      </c>
      <c r="I638" t="s">
        <v>3467</v>
      </c>
      <c r="J638" s="12" t="s">
        <v>1062</v>
      </c>
    </row>
    <row r="640" spans="1:11" s="77" customFormat="1" ht="18">
      <c r="B640"/>
      <c r="C640" s="77" t="s">
        <v>3736</v>
      </c>
    </row>
    <row r="641" spans="1:11" ht="18">
      <c r="B641" s="77"/>
      <c r="C641" s="10" t="s">
        <v>25</v>
      </c>
      <c r="D641" s="136" t="s">
        <v>10</v>
      </c>
      <c r="E641" s="136" t="s">
        <v>11</v>
      </c>
      <c r="F641" s="136" t="s">
        <v>12</v>
      </c>
      <c r="G641" s="2" t="s">
        <v>27</v>
      </c>
      <c r="H641" s="2" t="s">
        <v>26</v>
      </c>
      <c r="I641" s="2" t="s">
        <v>28</v>
      </c>
      <c r="J641" s="2" t="s">
        <v>9</v>
      </c>
      <c r="K641" s="64"/>
    </row>
    <row r="642" spans="1:11">
      <c r="A642">
        <v>1</v>
      </c>
      <c r="B642">
        <v>536</v>
      </c>
      <c r="C642" t="s">
        <v>3561</v>
      </c>
      <c r="D642">
        <v>11</v>
      </c>
      <c r="E642" t="s">
        <v>19</v>
      </c>
      <c r="F642">
        <v>2025</v>
      </c>
      <c r="G642" t="s">
        <v>3562</v>
      </c>
      <c r="H642" t="s">
        <v>3563</v>
      </c>
      <c r="I642" t="s">
        <v>3564</v>
      </c>
      <c r="J642" t="s">
        <v>1062</v>
      </c>
    </row>
    <row r="643" spans="1:11">
      <c r="A643">
        <v>2</v>
      </c>
      <c r="B643">
        <v>537</v>
      </c>
      <c r="C643" t="s">
        <v>3573</v>
      </c>
      <c r="D643">
        <v>9</v>
      </c>
      <c r="E643" t="s">
        <v>20</v>
      </c>
      <c r="F643">
        <v>2025</v>
      </c>
      <c r="G643" t="s">
        <v>3574</v>
      </c>
      <c r="H643" t="s">
        <v>3575</v>
      </c>
      <c r="I643" t="s">
        <v>3576</v>
      </c>
      <c r="J643" t="s">
        <v>1062</v>
      </c>
    </row>
    <row r="644" spans="1:11">
      <c r="A644">
        <v>3</v>
      </c>
      <c r="B644">
        <v>538</v>
      </c>
      <c r="C644" t="s">
        <v>3664</v>
      </c>
      <c r="D644">
        <v>5</v>
      </c>
      <c r="E644" t="s">
        <v>23</v>
      </c>
      <c r="F644">
        <v>2025</v>
      </c>
      <c r="G644" t="s">
        <v>3667</v>
      </c>
      <c r="H644" t="s">
        <v>3665</v>
      </c>
      <c r="I644" t="s">
        <v>3666</v>
      </c>
      <c r="J644" t="s">
        <v>1062</v>
      </c>
    </row>
    <row r="647" spans="1:11" ht="20.25">
      <c r="C647" s="21" t="s">
        <v>4210</v>
      </c>
    </row>
    <row r="648" spans="1:11" s="77" customFormat="1" ht="18">
      <c r="C648" s="77" t="s">
        <v>3739</v>
      </c>
    </row>
    <row r="649" spans="1:11" ht="18">
      <c r="B649" s="77"/>
      <c r="C649" s="10" t="s">
        <v>25</v>
      </c>
      <c r="D649" s="137" t="s">
        <v>10</v>
      </c>
      <c r="E649" s="137" t="s">
        <v>11</v>
      </c>
      <c r="F649" s="137" t="s">
        <v>12</v>
      </c>
      <c r="G649" s="2" t="s">
        <v>27</v>
      </c>
      <c r="H649" s="2" t="s">
        <v>26</v>
      </c>
      <c r="I649" s="2" t="s">
        <v>28</v>
      </c>
      <c r="J649" s="2" t="s">
        <v>9</v>
      </c>
      <c r="K649" s="64"/>
    </row>
    <row r="650" spans="1:11">
      <c r="A650">
        <v>1</v>
      </c>
      <c r="B650">
        <v>539</v>
      </c>
      <c r="C650" t="s">
        <v>3741</v>
      </c>
      <c r="D650">
        <v>23</v>
      </c>
      <c r="E650" t="s">
        <v>17</v>
      </c>
      <c r="F650">
        <v>2026</v>
      </c>
      <c r="G650" t="s">
        <v>3742</v>
      </c>
      <c r="H650" t="s">
        <v>3743</v>
      </c>
      <c r="I650" t="s">
        <v>3744</v>
      </c>
      <c r="J650" t="s">
        <v>1062</v>
      </c>
    </row>
    <row r="651" spans="1:11">
      <c r="A651">
        <v>2</v>
      </c>
      <c r="B651">
        <v>540</v>
      </c>
      <c r="C651" t="s">
        <v>3745</v>
      </c>
      <c r="D651">
        <v>23</v>
      </c>
      <c r="E651" t="s">
        <v>17</v>
      </c>
      <c r="F651">
        <v>2026</v>
      </c>
      <c r="G651" t="s">
        <v>3747</v>
      </c>
      <c r="H651" t="s">
        <v>3746</v>
      </c>
      <c r="I651" t="s">
        <v>3748</v>
      </c>
      <c r="J651" t="s">
        <v>1062</v>
      </c>
    </row>
    <row r="652" spans="1:11">
      <c r="A652">
        <v>3</v>
      </c>
      <c r="B652">
        <v>541</v>
      </c>
      <c r="C652" t="s">
        <v>3749</v>
      </c>
      <c r="D652">
        <v>23</v>
      </c>
      <c r="E652" t="s">
        <v>17</v>
      </c>
      <c r="F652">
        <v>2026</v>
      </c>
      <c r="G652" t="s">
        <v>3750</v>
      </c>
      <c r="H652" t="s">
        <v>3751</v>
      </c>
      <c r="I652" t="s">
        <v>3752</v>
      </c>
      <c r="J652" t="s">
        <v>1062</v>
      </c>
    </row>
    <row r="653" spans="1:11">
      <c r="A653">
        <v>4</v>
      </c>
      <c r="B653">
        <v>542</v>
      </c>
      <c r="C653" t="s">
        <v>3753</v>
      </c>
      <c r="D653">
        <v>23</v>
      </c>
      <c r="E653" t="s">
        <v>17</v>
      </c>
      <c r="F653">
        <v>2026</v>
      </c>
      <c r="G653" t="s">
        <v>3754</v>
      </c>
      <c r="H653" t="s">
        <v>3755</v>
      </c>
      <c r="I653" t="s">
        <v>3756</v>
      </c>
      <c r="J653" t="s">
        <v>1062</v>
      </c>
    </row>
    <row r="654" spans="1:11">
      <c r="A654">
        <v>5</v>
      </c>
      <c r="B654">
        <v>543</v>
      </c>
      <c r="C654" t="s">
        <v>3757</v>
      </c>
      <c r="D654">
        <v>23</v>
      </c>
      <c r="E654" t="s">
        <v>17</v>
      </c>
      <c r="F654">
        <v>2026</v>
      </c>
      <c r="G654" t="s">
        <v>3759</v>
      </c>
      <c r="H654" t="s">
        <v>3758</v>
      </c>
      <c r="I654" t="s">
        <v>3760</v>
      </c>
      <c r="J654" t="s">
        <v>1062</v>
      </c>
    </row>
    <row r="655" spans="1:11">
      <c r="A655">
        <v>6</v>
      </c>
      <c r="B655">
        <v>544</v>
      </c>
      <c r="C655" t="s">
        <v>3761</v>
      </c>
      <c r="D655">
        <v>23</v>
      </c>
      <c r="E655" t="s">
        <v>17</v>
      </c>
      <c r="F655">
        <v>2026</v>
      </c>
      <c r="G655" t="s">
        <v>3762</v>
      </c>
      <c r="H655" t="s">
        <v>3763</v>
      </c>
      <c r="I655" t="s">
        <v>3764</v>
      </c>
      <c r="J655" t="s">
        <v>1062</v>
      </c>
    </row>
    <row r="656" spans="1:11">
      <c r="A656">
        <v>7</v>
      </c>
      <c r="B656">
        <v>545</v>
      </c>
      <c r="C656" t="s">
        <v>3765</v>
      </c>
      <c r="D656">
        <v>23</v>
      </c>
      <c r="E656" t="s">
        <v>17</v>
      </c>
      <c r="F656">
        <v>2026</v>
      </c>
      <c r="G656" t="s">
        <v>3766</v>
      </c>
      <c r="H656" t="s">
        <v>3767</v>
      </c>
      <c r="I656" t="s">
        <v>3768</v>
      </c>
      <c r="J656" t="s">
        <v>1062</v>
      </c>
    </row>
    <row r="657" spans="1:11">
      <c r="A657">
        <v>8</v>
      </c>
      <c r="B657">
        <v>546</v>
      </c>
      <c r="C657" t="s">
        <v>3771</v>
      </c>
      <c r="D657">
        <v>23</v>
      </c>
      <c r="E657" t="s">
        <v>17</v>
      </c>
      <c r="F657">
        <v>2026</v>
      </c>
      <c r="G657" t="s">
        <v>3769</v>
      </c>
      <c r="H657" t="s">
        <v>3770</v>
      </c>
      <c r="I657" t="s">
        <v>3772</v>
      </c>
      <c r="J657" t="s">
        <v>1062</v>
      </c>
    </row>
    <row r="658" spans="1:11">
      <c r="A658">
        <v>9</v>
      </c>
      <c r="B658">
        <v>547</v>
      </c>
      <c r="C658" t="s">
        <v>3773</v>
      </c>
      <c r="D658">
        <v>23</v>
      </c>
      <c r="E658" t="s">
        <v>17</v>
      </c>
      <c r="F658">
        <v>2026</v>
      </c>
      <c r="G658" t="s">
        <v>3774</v>
      </c>
      <c r="H658" t="s">
        <v>3775</v>
      </c>
      <c r="I658" t="s">
        <v>3776</v>
      </c>
      <c r="J658" t="s">
        <v>1062</v>
      </c>
    </row>
    <row r="659" spans="1:11">
      <c r="A659">
        <v>10</v>
      </c>
      <c r="B659">
        <v>548</v>
      </c>
      <c r="C659" t="s">
        <v>3777</v>
      </c>
      <c r="D659">
        <v>23</v>
      </c>
      <c r="E659" t="s">
        <v>17</v>
      </c>
      <c r="F659">
        <v>2026</v>
      </c>
      <c r="G659" t="s">
        <v>3816</v>
      </c>
      <c r="H659" t="s">
        <v>823</v>
      </c>
      <c r="I659" t="s">
        <v>3778</v>
      </c>
      <c r="J659" t="s">
        <v>1062</v>
      </c>
    </row>
    <row r="660" spans="1:11">
      <c r="A660">
        <v>11</v>
      </c>
      <c r="B660">
        <v>549</v>
      </c>
      <c r="C660" t="s">
        <v>3779</v>
      </c>
      <c r="D660">
        <v>23</v>
      </c>
      <c r="E660" t="s">
        <v>17</v>
      </c>
      <c r="F660">
        <v>2026</v>
      </c>
      <c r="G660" t="s">
        <v>3750</v>
      </c>
      <c r="H660" t="s">
        <v>3751</v>
      </c>
      <c r="I660" t="s">
        <v>3780</v>
      </c>
      <c r="J660" t="s">
        <v>1062</v>
      </c>
    </row>
    <row r="662" spans="1:11" s="77" customFormat="1" ht="18">
      <c r="C662" s="77" t="s">
        <v>3738</v>
      </c>
    </row>
    <row r="663" spans="1:11" ht="18">
      <c r="B663" s="77"/>
      <c r="C663" s="10" t="s">
        <v>25</v>
      </c>
      <c r="D663" s="137" t="s">
        <v>10</v>
      </c>
      <c r="E663" s="137" t="s">
        <v>11</v>
      </c>
      <c r="F663" s="137" t="s">
        <v>12</v>
      </c>
      <c r="G663" s="2" t="s">
        <v>27</v>
      </c>
      <c r="H663" s="2" t="s">
        <v>26</v>
      </c>
      <c r="I663" s="2" t="s">
        <v>28</v>
      </c>
      <c r="J663" s="2" t="s">
        <v>9</v>
      </c>
      <c r="K663" s="64"/>
    </row>
    <row r="664" spans="1:11">
      <c r="A664">
        <v>1</v>
      </c>
      <c r="B664">
        <v>550</v>
      </c>
      <c r="C664" t="s">
        <v>3781</v>
      </c>
      <c r="D664">
        <v>23</v>
      </c>
      <c r="E664" t="s">
        <v>17</v>
      </c>
      <c r="F664">
        <v>2026</v>
      </c>
      <c r="G664" t="s">
        <v>3782</v>
      </c>
      <c r="H664" t="s">
        <v>3817</v>
      </c>
      <c r="I664" t="s">
        <v>3783</v>
      </c>
      <c r="J664" t="s">
        <v>1062</v>
      </c>
    </row>
    <row r="665" spans="1:11">
      <c r="A665">
        <v>2</v>
      </c>
      <c r="B665">
        <v>551</v>
      </c>
      <c r="C665" t="s">
        <v>3784</v>
      </c>
      <c r="D665">
        <v>23</v>
      </c>
      <c r="E665" t="s">
        <v>17</v>
      </c>
      <c r="F665">
        <v>2026</v>
      </c>
      <c r="G665" t="s">
        <v>3782</v>
      </c>
      <c r="H665" t="s">
        <v>3817</v>
      </c>
      <c r="I665" t="s">
        <v>3783</v>
      </c>
      <c r="J665" t="s">
        <v>1062</v>
      </c>
    </row>
    <row r="666" spans="1:11">
      <c r="A666">
        <v>3</v>
      </c>
      <c r="B666">
        <v>552</v>
      </c>
      <c r="C666" t="s">
        <v>3785</v>
      </c>
      <c r="D666">
        <v>23</v>
      </c>
      <c r="E666" t="s">
        <v>17</v>
      </c>
      <c r="F666">
        <v>2026</v>
      </c>
      <c r="G666" t="s">
        <v>3786</v>
      </c>
      <c r="H666" t="s">
        <v>3818</v>
      </c>
      <c r="I666" t="s">
        <v>3787</v>
      </c>
      <c r="J666" t="s">
        <v>1062</v>
      </c>
    </row>
    <row r="667" spans="1:11">
      <c r="A667">
        <v>4</v>
      </c>
      <c r="B667">
        <v>553</v>
      </c>
      <c r="C667" t="s">
        <v>3788</v>
      </c>
      <c r="D667">
        <v>23</v>
      </c>
      <c r="E667" t="s">
        <v>17</v>
      </c>
      <c r="F667">
        <v>2026</v>
      </c>
      <c r="G667" t="s">
        <v>3789</v>
      </c>
      <c r="H667" t="s">
        <v>3790</v>
      </c>
      <c r="I667" t="s">
        <v>3791</v>
      </c>
      <c r="J667" t="s">
        <v>1062</v>
      </c>
    </row>
    <row r="668" spans="1:11">
      <c r="A668">
        <v>5</v>
      </c>
      <c r="B668">
        <v>554</v>
      </c>
      <c r="C668" t="s">
        <v>3792</v>
      </c>
      <c r="D668">
        <v>23</v>
      </c>
      <c r="E668" t="s">
        <v>17</v>
      </c>
      <c r="F668">
        <v>2026</v>
      </c>
      <c r="G668" t="s">
        <v>3793</v>
      </c>
      <c r="H668" t="s">
        <v>3794</v>
      </c>
      <c r="I668" t="s">
        <v>3795</v>
      </c>
      <c r="J668" t="s">
        <v>1062</v>
      </c>
    </row>
    <row r="669" spans="1:11">
      <c r="A669">
        <v>6</v>
      </c>
      <c r="B669">
        <v>555</v>
      </c>
      <c r="C669" t="s">
        <v>3796</v>
      </c>
      <c r="D669">
        <v>23</v>
      </c>
      <c r="E669" t="s">
        <v>17</v>
      </c>
      <c r="F669">
        <v>2026</v>
      </c>
      <c r="G669" t="s">
        <v>3797</v>
      </c>
      <c r="H669" t="s">
        <v>3798</v>
      </c>
      <c r="I669" t="s">
        <v>3819</v>
      </c>
      <c r="J669" t="s">
        <v>1062</v>
      </c>
    </row>
    <row r="670" spans="1:11">
      <c r="A670">
        <v>7</v>
      </c>
      <c r="B670">
        <v>556</v>
      </c>
      <c r="C670" t="s">
        <v>3804</v>
      </c>
      <c r="D670">
        <v>23</v>
      </c>
      <c r="E670" t="s">
        <v>17</v>
      </c>
      <c r="F670">
        <v>2026</v>
      </c>
      <c r="G670" t="s">
        <v>3224</v>
      </c>
      <c r="H670" t="s">
        <v>2964</v>
      </c>
      <c r="I670" t="s">
        <v>3013</v>
      </c>
      <c r="J670" t="s">
        <v>1062</v>
      </c>
    </row>
    <row r="671" spans="1:11">
      <c r="A671">
        <v>8</v>
      </c>
      <c r="B671">
        <v>557</v>
      </c>
      <c r="C671" t="s">
        <v>3805</v>
      </c>
      <c r="D671">
        <v>23</v>
      </c>
      <c r="E671" t="s">
        <v>17</v>
      </c>
      <c r="F671">
        <v>2026</v>
      </c>
      <c r="G671" t="s">
        <v>3247</v>
      </c>
      <c r="H671" t="s">
        <v>3248</v>
      </c>
      <c r="I671" t="s">
        <v>3820</v>
      </c>
      <c r="J671" t="s">
        <v>1062</v>
      </c>
    </row>
    <row r="672" spans="1:11">
      <c r="A672">
        <v>9</v>
      </c>
      <c r="B672">
        <v>558</v>
      </c>
      <c r="C672" t="s">
        <v>3806</v>
      </c>
      <c r="D672">
        <v>23</v>
      </c>
      <c r="E672" t="s">
        <v>17</v>
      </c>
      <c r="F672">
        <v>2026</v>
      </c>
      <c r="G672" t="s">
        <v>3251</v>
      </c>
      <c r="H672" t="s">
        <v>3252</v>
      </c>
      <c r="I672" t="s">
        <v>3807</v>
      </c>
      <c r="J672" t="s">
        <v>1062</v>
      </c>
    </row>
    <row r="673" spans="1:11">
      <c r="A673">
        <v>10</v>
      </c>
      <c r="B673">
        <v>559</v>
      </c>
      <c r="C673" t="s">
        <v>3808</v>
      </c>
      <c r="D673">
        <v>23</v>
      </c>
      <c r="E673" t="s">
        <v>17</v>
      </c>
      <c r="F673">
        <v>2026</v>
      </c>
      <c r="G673" t="s">
        <v>3809</v>
      </c>
      <c r="H673" t="s">
        <v>3810</v>
      </c>
      <c r="I673" t="s">
        <v>3811</v>
      </c>
      <c r="J673" t="s">
        <v>1062</v>
      </c>
    </row>
    <row r="674" spans="1:11">
      <c r="A674">
        <v>11</v>
      </c>
      <c r="B674">
        <v>560</v>
      </c>
      <c r="C674" t="s">
        <v>3812</v>
      </c>
      <c r="D674">
        <v>23</v>
      </c>
      <c r="E674" t="s">
        <v>17</v>
      </c>
      <c r="F674">
        <v>2026</v>
      </c>
      <c r="G674" t="s">
        <v>3813</v>
      </c>
      <c r="H674" t="s">
        <v>3814</v>
      </c>
      <c r="I674" t="s">
        <v>3815</v>
      </c>
      <c r="J674" t="s">
        <v>1062</v>
      </c>
    </row>
    <row r="676" spans="1:11" s="77" customFormat="1" ht="18">
      <c r="C676" s="77" t="s">
        <v>3889</v>
      </c>
    </row>
    <row r="677" spans="1:11" ht="18">
      <c r="B677" s="77"/>
      <c r="C677" s="10" t="s">
        <v>25</v>
      </c>
      <c r="D677" s="138" t="s">
        <v>10</v>
      </c>
      <c r="E677" s="138" t="s">
        <v>11</v>
      </c>
      <c r="F677" s="138" t="s">
        <v>12</v>
      </c>
      <c r="G677" s="2" t="s">
        <v>27</v>
      </c>
      <c r="H677" s="2" t="s">
        <v>26</v>
      </c>
      <c r="I677" s="2" t="s">
        <v>28</v>
      </c>
      <c r="J677" s="2" t="s">
        <v>9</v>
      </c>
      <c r="K677" s="64"/>
    </row>
    <row r="678" spans="1:11">
      <c r="A678">
        <v>1</v>
      </c>
      <c r="B678">
        <v>561</v>
      </c>
      <c r="C678" t="s">
        <v>3821</v>
      </c>
      <c r="D678">
        <v>30</v>
      </c>
      <c r="E678" t="s">
        <v>17</v>
      </c>
      <c r="F678">
        <v>2026</v>
      </c>
      <c r="G678" t="s">
        <v>1641</v>
      </c>
      <c r="H678" t="s">
        <v>1642</v>
      </c>
      <c r="I678" t="s">
        <v>3822</v>
      </c>
      <c r="J678" t="s">
        <v>1062</v>
      </c>
    </row>
    <row r="679" spans="1:11">
      <c r="A679">
        <v>2</v>
      </c>
      <c r="B679">
        <v>562</v>
      </c>
      <c r="C679" t="s">
        <v>3823</v>
      </c>
      <c r="D679">
        <v>30</v>
      </c>
      <c r="E679" t="s">
        <v>17</v>
      </c>
      <c r="F679">
        <v>2026</v>
      </c>
      <c r="G679" t="s">
        <v>3824</v>
      </c>
      <c r="H679" t="s">
        <v>3825</v>
      </c>
      <c r="I679" t="s">
        <v>3826</v>
      </c>
      <c r="J679" t="s">
        <v>1062</v>
      </c>
    </row>
    <row r="680" spans="1:11">
      <c r="A680">
        <v>3</v>
      </c>
      <c r="B680">
        <v>563</v>
      </c>
      <c r="C680" t="s">
        <v>3827</v>
      </c>
      <c r="D680">
        <v>30</v>
      </c>
      <c r="E680" t="s">
        <v>17</v>
      </c>
      <c r="F680">
        <v>2026</v>
      </c>
      <c r="G680" t="s">
        <v>3828</v>
      </c>
      <c r="H680" t="s">
        <v>3829</v>
      </c>
      <c r="I680" t="s">
        <v>3830</v>
      </c>
      <c r="J680" t="s">
        <v>1062</v>
      </c>
    </row>
    <row r="681" spans="1:11">
      <c r="A681">
        <v>4</v>
      </c>
      <c r="B681">
        <v>564</v>
      </c>
      <c r="C681" t="s">
        <v>3831</v>
      </c>
      <c r="D681">
        <v>30</v>
      </c>
      <c r="E681" t="s">
        <v>17</v>
      </c>
      <c r="F681">
        <v>2026</v>
      </c>
      <c r="G681" t="s">
        <v>3526</v>
      </c>
      <c r="H681" t="s">
        <v>3527</v>
      </c>
      <c r="I681" t="s">
        <v>3832</v>
      </c>
      <c r="J681" t="s">
        <v>1062</v>
      </c>
    </row>
    <row r="682" spans="1:11">
      <c r="A682">
        <v>5</v>
      </c>
      <c r="B682">
        <v>565</v>
      </c>
      <c r="C682" t="s">
        <v>3833</v>
      </c>
      <c r="D682">
        <v>30</v>
      </c>
      <c r="E682" t="s">
        <v>17</v>
      </c>
      <c r="F682">
        <v>2026</v>
      </c>
      <c r="G682" t="s">
        <v>3836</v>
      </c>
      <c r="H682" t="s">
        <v>734</v>
      </c>
      <c r="I682" t="s">
        <v>3837</v>
      </c>
      <c r="J682" t="s">
        <v>1062</v>
      </c>
    </row>
    <row r="683" spans="1:11">
      <c r="A683">
        <v>6</v>
      </c>
      <c r="B683">
        <v>566</v>
      </c>
      <c r="C683" t="s">
        <v>3834</v>
      </c>
      <c r="D683">
        <v>30</v>
      </c>
      <c r="E683" t="s">
        <v>17</v>
      </c>
      <c r="F683">
        <v>2026</v>
      </c>
      <c r="G683" t="s">
        <v>3835</v>
      </c>
      <c r="H683" t="s">
        <v>3838</v>
      </c>
      <c r="I683" t="s">
        <v>1752</v>
      </c>
      <c r="J683" t="s">
        <v>1062</v>
      </c>
    </row>
    <row r="684" spans="1:11">
      <c r="A684">
        <v>7</v>
      </c>
      <c r="B684">
        <v>567</v>
      </c>
      <c r="C684" t="s">
        <v>3839</v>
      </c>
      <c r="D684">
        <v>30</v>
      </c>
      <c r="E684" t="s">
        <v>17</v>
      </c>
      <c r="F684">
        <v>2026</v>
      </c>
      <c r="G684" t="s">
        <v>3840</v>
      </c>
      <c r="H684" t="s">
        <v>3841</v>
      </c>
      <c r="I684" t="s">
        <v>3842</v>
      </c>
      <c r="J684" t="s">
        <v>1062</v>
      </c>
    </row>
    <row r="685" spans="1:11">
      <c r="A685">
        <v>8</v>
      </c>
      <c r="B685">
        <v>568</v>
      </c>
      <c r="C685" t="s">
        <v>3843</v>
      </c>
      <c r="D685">
        <v>30</v>
      </c>
      <c r="E685" t="s">
        <v>17</v>
      </c>
      <c r="F685">
        <v>2026</v>
      </c>
      <c r="G685" t="s">
        <v>3844</v>
      </c>
      <c r="H685" t="s">
        <v>3845</v>
      </c>
      <c r="I685" t="s">
        <v>3846</v>
      </c>
      <c r="J685" t="s">
        <v>1062</v>
      </c>
    </row>
    <row r="686" spans="1:11">
      <c r="A686">
        <v>9</v>
      </c>
      <c r="B686">
        <v>569</v>
      </c>
      <c r="C686" t="s">
        <v>3847</v>
      </c>
      <c r="D686">
        <v>30</v>
      </c>
      <c r="E686" t="s">
        <v>17</v>
      </c>
      <c r="F686">
        <v>2026</v>
      </c>
      <c r="G686" t="s">
        <v>3848</v>
      </c>
      <c r="H686" t="s">
        <v>3849</v>
      </c>
      <c r="I686" t="s">
        <v>3850</v>
      </c>
      <c r="J686" t="s">
        <v>1062</v>
      </c>
    </row>
    <row r="687" spans="1:11">
      <c r="A687">
        <v>10</v>
      </c>
      <c r="B687">
        <v>570</v>
      </c>
      <c r="C687" t="s">
        <v>3851</v>
      </c>
      <c r="D687">
        <v>30</v>
      </c>
      <c r="E687" t="s">
        <v>17</v>
      </c>
      <c r="F687">
        <v>2026</v>
      </c>
      <c r="G687" s="12" t="s">
        <v>40</v>
      </c>
      <c r="H687" t="s">
        <v>1274</v>
      </c>
      <c r="I687" t="s">
        <v>3852</v>
      </c>
      <c r="J687" t="s">
        <v>1062</v>
      </c>
    </row>
    <row r="688" spans="1:11">
      <c r="A688">
        <v>11</v>
      </c>
      <c r="B688">
        <v>571</v>
      </c>
      <c r="C688" t="s">
        <v>3853</v>
      </c>
      <c r="D688">
        <v>30</v>
      </c>
      <c r="E688" t="s">
        <v>17</v>
      </c>
      <c r="F688">
        <v>2026</v>
      </c>
      <c r="G688" t="s">
        <v>3854</v>
      </c>
      <c r="H688" t="s">
        <v>3855</v>
      </c>
      <c r="I688" t="s">
        <v>3856</v>
      </c>
      <c r="J688" t="s">
        <v>1062</v>
      </c>
    </row>
    <row r="689" spans="1:11">
      <c r="A689">
        <v>12</v>
      </c>
      <c r="B689">
        <v>572</v>
      </c>
      <c r="C689" t="s">
        <v>3858</v>
      </c>
      <c r="D689">
        <v>30</v>
      </c>
      <c r="E689" t="s">
        <v>17</v>
      </c>
      <c r="F689">
        <v>2026</v>
      </c>
      <c r="G689" t="s">
        <v>3857</v>
      </c>
      <c r="H689" t="s">
        <v>3859</v>
      </c>
      <c r="I689" t="s">
        <v>3860</v>
      </c>
      <c r="J689" t="s">
        <v>1062</v>
      </c>
    </row>
    <row r="690" spans="1:11">
      <c r="A690">
        <v>13</v>
      </c>
      <c r="B690">
        <v>573</v>
      </c>
      <c r="C690" t="s">
        <v>3861</v>
      </c>
      <c r="D690">
        <v>30</v>
      </c>
      <c r="E690" t="s">
        <v>17</v>
      </c>
      <c r="F690">
        <v>2026</v>
      </c>
      <c r="G690" t="s">
        <v>3862</v>
      </c>
      <c r="H690" t="s">
        <v>3863</v>
      </c>
      <c r="I690" t="s">
        <v>3864</v>
      </c>
      <c r="J690" t="s">
        <v>1062</v>
      </c>
    </row>
    <row r="691" spans="1:11">
      <c r="A691">
        <v>14</v>
      </c>
      <c r="B691">
        <v>574</v>
      </c>
      <c r="C691" t="s">
        <v>3865</v>
      </c>
      <c r="D691">
        <v>30</v>
      </c>
      <c r="E691" t="s">
        <v>17</v>
      </c>
      <c r="F691">
        <v>2026</v>
      </c>
      <c r="G691" t="s">
        <v>3866</v>
      </c>
      <c r="H691" t="s">
        <v>3867</v>
      </c>
      <c r="I691" t="s">
        <v>3868</v>
      </c>
      <c r="J691" t="s">
        <v>1062</v>
      </c>
    </row>
    <row r="692" spans="1:11">
      <c r="A692">
        <v>15</v>
      </c>
      <c r="B692">
        <v>575</v>
      </c>
      <c r="C692" t="s">
        <v>3869</v>
      </c>
      <c r="D692">
        <v>30</v>
      </c>
      <c r="E692" t="s">
        <v>17</v>
      </c>
      <c r="F692">
        <v>2026</v>
      </c>
      <c r="G692" t="s">
        <v>3870</v>
      </c>
      <c r="H692" t="s">
        <v>2295</v>
      </c>
      <c r="I692" t="s">
        <v>3871</v>
      </c>
      <c r="J692" t="s">
        <v>1062</v>
      </c>
    </row>
    <row r="693" spans="1:11">
      <c r="A693">
        <v>16</v>
      </c>
      <c r="B693">
        <v>576</v>
      </c>
      <c r="C693" t="s">
        <v>3872</v>
      </c>
      <c r="D693">
        <v>30</v>
      </c>
      <c r="E693" t="s">
        <v>17</v>
      </c>
      <c r="F693">
        <v>2026</v>
      </c>
      <c r="G693" t="s">
        <v>3873</v>
      </c>
      <c r="H693" t="s">
        <v>3874</v>
      </c>
      <c r="I693" t="s">
        <v>4471</v>
      </c>
      <c r="J693" t="s">
        <v>1062</v>
      </c>
    </row>
    <row r="694" spans="1:11">
      <c r="A694">
        <v>17</v>
      </c>
      <c r="B694">
        <v>577</v>
      </c>
      <c r="C694" t="s">
        <v>3875</v>
      </c>
      <c r="D694">
        <v>30</v>
      </c>
      <c r="E694" t="s">
        <v>17</v>
      </c>
      <c r="F694">
        <v>2026</v>
      </c>
      <c r="G694" t="s">
        <v>3876</v>
      </c>
      <c r="H694" t="s">
        <v>3877</v>
      </c>
      <c r="I694" t="s">
        <v>3878</v>
      </c>
      <c r="J694" t="s">
        <v>1062</v>
      </c>
    </row>
    <row r="695" spans="1:11">
      <c r="A695">
        <v>18</v>
      </c>
      <c r="B695">
        <v>578</v>
      </c>
      <c r="C695" t="s">
        <v>3879</v>
      </c>
      <c r="D695">
        <v>30</v>
      </c>
      <c r="E695" t="s">
        <v>17</v>
      </c>
      <c r="F695">
        <v>2026</v>
      </c>
      <c r="G695" t="s">
        <v>3880</v>
      </c>
      <c r="H695" t="s">
        <v>3881</v>
      </c>
      <c r="I695" t="s">
        <v>3882</v>
      </c>
      <c r="J695" t="s">
        <v>1062</v>
      </c>
    </row>
    <row r="696" spans="1:11">
      <c r="A696">
        <v>19</v>
      </c>
      <c r="B696">
        <v>579</v>
      </c>
      <c r="C696" t="s">
        <v>3883</v>
      </c>
      <c r="D696">
        <v>30</v>
      </c>
      <c r="E696" t="s">
        <v>17</v>
      </c>
      <c r="F696">
        <v>2026</v>
      </c>
      <c r="G696" t="s">
        <v>3884</v>
      </c>
      <c r="H696" t="s">
        <v>3885</v>
      </c>
      <c r="I696" t="s">
        <v>3886</v>
      </c>
      <c r="J696" t="s">
        <v>1062</v>
      </c>
    </row>
    <row r="697" spans="1:11">
      <c r="A697">
        <v>20</v>
      </c>
      <c r="B697">
        <v>580</v>
      </c>
      <c r="C697" t="s">
        <v>3887</v>
      </c>
      <c r="D697">
        <v>30</v>
      </c>
      <c r="E697" t="s">
        <v>17</v>
      </c>
      <c r="F697">
        <v>2026</v>
      </c>
      <c r="G697" t="s">
        <v>1656</v>
      </c>
      <c r="H697" s="12" t="s">
        <v>1657</v>
      </c>
      <c r="I697" t="s">
        <v>3888</v>
      </c>
      <c r="J697" t="s">
        <v>1062</v>
      </c>
    </row>
    <row r="699" spans="1:11" s="77" customFormat="1" ht="18">
      <c r="C699" s="77" t="s">
        <v>3891</v>
      </c>
    </row>
    <row r="700" spans="1:11" ht="18">
      <c r="B700" s="77"/>
      <c r="C700" s="10" t="s">
        <v>25</v>
      </c>
      <c r="D700" s="139" t="s">
        <v>10</v>
      </c>
      <c r="E700" s="139" t="s">
        <v>11</v>
      </c>
      <c r="F700" s="139" t="s">
        <v>12</v>
      </c>
      <c r="G700" s="2" t="s">
        <v>27</v>
      </c>
      <c r="H700" s="2" t="s">
        <v>26</v>
      </c>
      <c r="I700" s="2" t="s">
        <v>28</v>
      </c>
      <c r="J700" s="2" t="s">
        <v>9</v>
      </c>
      <c r="K700" s="64"/>
    </row>
    <row r="701" spans="1:11">
      <c r="A701">
        <v>1</v>
      </c>
      <c r="B701">
        <v>581</v>
      </c>
      <c r="C701" t="s">
        <v>3890</v>
      </c>
      <c r="D701">
        <v>29</v>
      </c>
      <c r="E701" t="s">
        <v>17</v>
      </c>
      <c r="F701">
        <v>2026</v>
      </c>
      <c r="G701" t="s">
        <v>3892</v>
      </c>
      <c r="H701" t="s">
        <v>3893</v>
      </c>
      <c r="I701" t="s">
        <v>3894</v>
      </c>
      <c r="J701" t="s">
        <v>1062</v>
      </c>
    </row>
    <row r="702" spans="1:11">
      <c r="A702">
        <v>2</v>
      </c>
      <c r="B702">
        <v>582</v>
      </c>
      <c r="C702" t="s">
        <v>3895</v>
      </c>
      <c r="D702">
        <v>29</v>
      </c>
      <c r="E702" t="s">
        <v>17</v>
      </c>
      <c r="F702">
        <v>2026</v>
      </c>
      <c r="G702" t="s">
        <v>3896</v>
      </c>
      <c r="H702" t="s">
        <v>3897</v>
      </c>
      <c r="I702" t="s">
        <v>2449</v>
      </c>
      <c r="J702" t="s">
        <v>1062</v>
      </c>
    </row>
    <row r="703" spans="1:11">
      <c r="A703">
        <v>3</v>
      </c>
      <c r="B703">
        <v>583</v>
      </c>
      <c r="C703" t="s">
        <v>3898</v>
      </c>
      <c r="D703">
        <v>29</v>
      </c>
      <c r="E703" t="s">
        <v>17</v>
      </c>
      <c r="F703">
        <v>2026</v>
      </c>
      <c r="G703" t="s">
        <v>3899</v>
      </c>
      <c r="H703" t="s">
        <v>3900</v>
      </c>
      <c r="I703" t="s">
        <v>3901</v>
      </c>
      <c r="J703" t="s">
        <v>1062</v>
      </c>
    </row>
    <row r="704" spans="1:11">
      <c r="A704">
        <v>4</v>
      </c>
      <c r="B704">
        <v>584</v>
      </c>
      <c r="C704" t="s">
        <v>3902</v>
      </c>
      <c r="D704">
        <v>29</v>
      </c>
      <c r="E704" t="s">
        <v>17</v>
      </c>
      <c r="F704">
        <v>2026</v>
      </c>
      <c r="G704" t="s">
        <v>140</v>
      </c>
      <c r="H704" t="s">
        <v>3903</v>
      </c>
      <c r="I704" t="s">
        <v>3904</v>
      </c>
      <c r="J704" t="s">
        <v>1062</v>
      </c>
    </row>
    <row r="705" spans="1:10">
      <c r="A705">
        <v>5</v>
      </c>
      <c r="B705">
        <v>585</v>
      </c>
      <c r="C705" t="s">
        <v>3905</v>
      </c>
      <c r="D705">
        <v>29</v>
      </c>
      <c r="E705" t="s">
        <v>17</v>
      </c>
      <c r="F705">
        <v>2026</v>
      </c>
      <c r="G705" t="s">
        <v>3906</v>
      </c>
      <c r="H705" s="12" t="s">
        <v>4084</v>
      </c>
      <c r="I705" t="s">
        <v>3907</v>
      </c>
      <c r="J705" t="s">
        <v>1062</v>
      </c>
    </row>
    <row r="706" spans="1:10">
      <c r="A706">
        <v>6</v>
      </c>
      <c r="B706">
        <v>586</v>
      </c>
      <c r="C706" t="s">
        <v>3908</v>
      </c>
      <c r="D706">
        <v>29</v>
      </c>
      <c r="E706" t="s">
        <v>17</v>
      </c>
      <c r="F706">
        <v>2026</v>
      </c>
      <c r="G706" t="s">
        <v>3379</v>
      </c>
      <c r="H706" t="s">
        <v>3380</v>
      </c>
      <c r="I706" t="s">
        <v>3381</v>
      </c>
      <c r="J706" t="s">
        <v>1062</v>
      </c>
    </row>
    <row r="707" spans="1:10">
      <c r="A707">
        <v>7</v>
      </c>
      <c r="B707">
        <v>587</v>
      </c>
      <c r="C707" t="s">
        <v>3909</v>
      </c>
      <c r="D707">
        <v>29</v>
      </c>
      <c r="E707" t="s">
        <v>17</v>
      </c>
      <c r="F707">
        <v>2026</v>
      </c>
      <c r="G707" t="s">
        <v>3910</v>
      </c>
      <c r="H707" t="s">
        <v>3911</v>
      </c>
      <c r="I707" t="s">
        <v>3912</v>
      </c>
      <c r="J707" t="s">
        <v>1062</v>
      </c>
    </row>
    <row r="708" spans="1:10">
      <c r="A708">
        <v>8</v>
      </c>
      <c r="B708">
        <v>588</v>
      </c>
      <c r="C708" t="s">
        <v>3913</v>
      </c>
      <c r="D708">
        <v>29</v>
      </c>
      <c r="E708" t="s">
        <v>17</v>
      </c>
      <c r="F708">
        <v>2026</v>
      </c>
      <c r="G708" t="s">
        <v>3914</v>
      </c>
      <c r="H708" t="s">
        <v>3915</v>
      </c>
      <c r="I708" t="s">
        <v>3916</v>
      </c>
      <c r="J708" t="s">
        <v>1062</v>
      </c>
    </row>
    <row r="709" spans="1:10">
      <c r="A709">
        <v>9</v>
      </c>
      <c r="B709">
        <v>589</v>
      </c>
      <c r="C709" t="s">
        <v>3917</v>
      </c>
      <c r="D709">
        <v>29</v>
      </c>
      <c r="E709" t="s">
        <v>17</v>
      </c>
      <c r="F709">
        <v>2026</v>
      </c>
      <c r="G709" t="s">
        <v>2971</v>
      </c>
      <c r="H709" t="s">
        <v>3539</v>
      </c>
      <c r="I709" t="s">
        <v>3918</v>
      </c>
      <c r="J709" t="s">
        <v>1062</v>
      </c>
    </row>
    <row r="710" spans="1:10">
      <c r="A710">
        <v>10</v>
      </c>
      <c r="B710">
        <v>590</v>
      </c>
      <c r="C710" t="s">
        <v>3919</v>
      </c>
      <c r="D710">
        <v>29</v>
      </c>
      <c r="E710" t="s">
        <v>17</v>
      </c>
      <c r="F710">
        <v>2026</v>
      </c>
      <c r="G710" t="s">
        <v>3920</v>
      </c>
      <c r="H710" t="s">
        <v>3921</v>
      </c>
      <c r="I710" t="s">
        <v>3922</v>
      </c>
      <c r="J710" t="s">
        <v>1062</v>
      </c>
    </row>
    <row r="711" spans="1:10">
      <c r="A711">
        <v>11</v>
      </c>
      <c r="B711">
        <v>591</v>
      </c>
      <c r="C711" t="s">
        <v>3923</v>
      </c>
      <c r="D711">
        <v>29</v>
      </c>
      <c r="E711" t="s">
        <v>17</v>
      </c>
      <c r="F711">
        <v>2026</v>
      </c>
      <c r="G711" t="s">
        <v>3924</v>
      </c>
      <c r="H711" t="s">
        <v>3925</v>
      </c>
      <c r="I711" t="s">
        <v>3926</v>
      </c>
      <c r="J711" t="s">
        <v>1062</v>
      </c>
    </row>
    <row r="712" spans="1:10">
      <c r="A712">
        <v>12</v>
      </c>
      <c r="B712">
        <v>592</v>
      </c>
      <c r="C712" t="s">
        <v>3927</v>
      </c>
      <c r="D712">
        <v>29</v>
      </c>
      <c r="E712" t="s">
        <v>17</v>
      </c>
      <c r="F712">
        <v>2026</v>
      </c>
      <c r="G712" t="s">
        <v>3928</v>
      </c>
      <c r="H712" t="s">
        <v>3929</v>
      </c>
      <c r="I712" t="s">
        <v>3930</v>
      </c>
      <c r="J712" t="s">
        <v>1062</v>
      </c>
    </row>
    <row r="713" spans="1:10">
      <c r="A713">
        <v>13</v>
      </c>
      <c r="B713">
        <v>593</v>
      </c>
      <c r="C713" t="s">
        <v>3931</v>
      </c>
      <c r="D713">
        <v>29</v>
      </c>
      <c r="E713" t="s">
        <v>17</v>
      </c>
      <c r="F713">
        <v>2026</v>
      </c>
      <c r="G713" t="s">
        <v>3932</v>
      </c>
      <c r="H713" t="s">
        <v>3933</v>
      </c>
      <c r="I713" t="s">
        <v>3934</v>
      </c>
      <c r="J713" t="s">
        <v>1062</v>
      </c>
    </row>
    <row r="714" spans="1:10">
      <c r="A714">
        <v>14</v>
      </c>
      <c r="B714">
        <v>594</v>
      </c>
      <c r="C714" t="s">
        <v>3935</v>
      </c>
      <c r="D714">
        <v>29</v>
      </c>
      <c r="E714" t="s">
        <v>17</v>
      </c>
      <c r="F714">
        <v>2026</v>
      </c>
      <c r="G714" t="s">
        <v>3275</v>
      </c>
      <c r="H714" t="s">
        <v>3936</v>
      </c>
      <c r="I714" t="s">
        <v>3937</v>
      </c>
      <c r="J714" t="s">
        <v>1062</v>
      </c>
    </row>
    <row r="715" spans="1:10">
      <c r="A715">
        <v>15</v>
      </c>
      <c r="B715">
        <v>595</v>
      </c>
      <c r="C715" t="s">
        <v>3938</v>
      </c>
      <c r="D715">
        <v>29</v>
      </c>
      <c r="E715" t="s">
        <v>17</v>
      </c>
      <c r="F715">
        <v>2026</v>
      </c>
      <c r="G715" t="s">
        <v>3939</v>
      </c>
      <c r="H715" t="s">
        <v>1441</v>
      </c>
      <c r="I715" t="s">
        <v>3940</v>
      </c>
      <c r="J715" t="s">
        <v>1062</v>
      </c>
    </row>
    <row r="716" spans="1:10">
      <c r="A716">
        <v>16</v>
      </c>
      <c r="B716">
        <v>596</v>
      </c>
      <c r="C716" t="s">
        <v>3945</v>
      </c>
      <c r="D716">
        <v>29</v>
      </c>
      <c r="E716" t="s">
        <v>17</v>
      </c>
      <c r="F716">
        <v>2026</v>
      </c>
      <c r="G716" t="s">
        <v>3910</v>
      </c>
      <c r="H716" t="s">
        <v>3911</v>
      </c>
      <c r="I716" t="s">
        <v>3946</v>
      </c>
      <c r="J716" t="s">
        <v>1062</v>
      </c>
    </row>
    <row r="717" spans="1:10">
      <c r="A717">
        <v>17</v>
      </c>
      <c r="B717">
        <v>597</v>
      </c>
      <c r="C717" t="s">
        <v>3941</v>
      </c>
      <c r="D717">
        <v>29</v>
      </c>
      <c r="E717" t="s">
        <v>17</v>
      </c>
      <c r="F717">
        <v>2026</v>
      </c>
      <c r="G717" t="s">
        <v>3942</v>
      </c>
      <c r="H717" t="s">
        <v>3943</v>
      </c>
      <c r="I717" t="s">
        <v>3944</v>
      </c>
      <c r="J717" t="s">
        <v>1062</v>
      </c>
    </row>
    <row r="718" spans="1:10">
      <c r="A718">
        <v>18</v>
      </c>
      <c r="B718">
        <v>598</v>
      </c>
      <c r="C718" t="s">
        <v>3947</v>
      </c>
      <c r="D718">
        <v>29</v>
      </c>
      <c r="E718" t="s">
        <v>17</v>
      </c>
      <c r="F718">
        <v>2026</v>
      </c>
      <c r="G718" t="s">
        <v>3293</v>
      </c>
      <c r="H718" t="s">
        <v>3294</v>
      </c>
      <c r="I718" t="s">
        <v>3948</v>
      </c>
      <c r="J718" t="s">
        <v>1062</v>
      </c>
    </row>
    <row r="719" spans="1:10">
      <c r="A719">
        <v>19</v>
      </c>
      <c r="B719">
        <v>599</v>
      </c>
      <c r="C719" t="s">
        <v>3949</v>
      </c>
      <c r="D719">
        <v>29</v>
      </c>
      <c r="E719" t="s">
        <v>17</v>
      </c>
      <c r="F719">
        <v>2026</v>
      </c>
      <c r="G719" t="s">
        <v>3950</v>
      </c>
      <c r="H719" t="s">
        <v>661</v>
      </c>
      <c r="I719" t="s">
        <v>3951</v>
      </c>
      <c r="J719" t="s">
        <v>1062</v>
      </c>
    </row>
    <row r="720" spans="1:10">
      <c r="A720">
        <v>20</v>
      </c>
      <c r="B720">
        <v>600</v>
      </c>
      <c r="C720" t="s">
        <v>3952</v>
      </c>
      <c r="D720">
        <v>29</v>
      </c>
      <c r="E720" t="s">
        <v>17</v>
      </c>
      <c r="F720">
        <v>2026</v>
      </c>
      <c r="G720" t="s">
        <v>1732</v>
      </c>
      <c r="H720" t="s">
        <v>1733</v>
      </c>
      <c r="I720" t="s">
        <v>3953</v>
      </c>
      <c r="J720" t="s">
        <v>1062</v>
      </c>
    </row>
    <row r="722" spans="1:11" s="77" customFormat="1" ht="18">
      <c r="C722" s="77" t="s">
        <v>3954</v>
      </c>
    </row>
    <row r="723" spans="1:11" ht="18">
      <c r="B723" s="77"/>
      <c r="C723" s="10" t="s">
        <v>25</v>
      </c>
      <c r="D723" s="140" t="s">
        <v>10</v>
      </c>
      <c r="E723" s="140" t="s">
        <v>11</v>
      </c>
      <c r="F723" s="140" t="s">
        <v>12</v>
      </c>
      <c r="G723" s="2" t="s">
        <v>27</v>
      </c>
      <c r="H723" s="2" t="s">
        <v>26</v>
      </c>
      <c r="I723" s="2" t="s">
        <v>28</v>
      </c>
      <c r="J723" s="2" t="s">
        <v>9</v>
      </c>
      <c r="K723" s="64"/>
    </row>
    <row r="724" spans="1:11">
      <c r="A724">
        <v>1</v>
      </c>
      <c r="B724">
        <v>601</v>
      </c>
      <c r="C724" t="s">
        <v>3955</v>
      </c>
      <c r="D724">
        <v>29</v>
      </c>
      <c r="E724" t="s">
        <v>17</v>
      </c>
      <c r="F724">
        <v>2026</v>
      </c>
      <c r="G724" t="s">
        <v>3956</v>
      </c>
      <c r="H724" t="s">
        <v>3957</v>
      </c>
      <c r="I724" t="s">
        <v>3958</v>
      </c>
      <c r="J724" t="s">
        <v>1062</v>
      </c>
    </row>
    <row r="725" spans="1:11">
      <c r="A725">
        <v>2</v>
      </c>
      <c r="B725">
        <v>602</v>
      </c>
      <c r="C725" t="s">
        <v>3959</v>
      </c>
      <c r="D725">
        <v>29</v>
      </c>
      <c r="E725" t="s">
        <v>17</v>
      </c>
      <c r="F725">
        <v>2026</v>
      </c>
      <c r="G725" t="s">
        <v>3960</v>
      </c>
      <c r="H725" t="s">
        <v>3961</v>
      </c>
      <c r="I725" t="s">
        <v>3962</v>
      </c>
      <c r="J725" t="s">
        <v>1062</v>
      </c>
    </row>
    <row r="726" spans="1:11">
      <c r="A726">
        <v>3</v>
      </c>
      <c r="B726">
        <v>603</v>
      </c>
      <c r="C726" t="s">
        <v>3963</v>
      </c>
      <c r="D726">
        <v>29</v>
      </c>
      <c r="E726" t="s">
        <v>17</v>
      </c>
      <c r="F726">
        <v>2026</v>
      </c>
      <c r="G726" t="s">
        <v>3964</v>
      </c>
      <c r="H726" t="s">
        <v>3965</v>
      </c>
      <c r="I726" t="s">
        <v>3966</v>
      </c>
      <c r="J726" t="s">
        <v>1062</v>
      </c>
    </row>
    <row r="727" spans="1:11">
      <c r="A727">
        <v>4</v>
      </c>
      <c r="B727">
        <v>604</v>
      </c>
      <c r="C727" t="s">
        <v>3967</v>
      </c>
      <c r="D727">
        <v>29</v>
      </c>
      <c r="E727" t="s">
        <v>17</v>
      </c>
      <c r="F727">
        <v>2026</v>
      </c>
      <c r="G727" t="s">
        <v>2863</v>
      </c>
      <c r="H727" t="s">
        <v>2864</v>
      </c>
      <c r="I727" t="s">
        <v>3968</v>
      </c>
      <c r="J727" t="s">
        <v>1062</v>
      </c>
    </row>
    <row r="728" spans="1:11">
      <c r="A728">
        <v>5</v>
      </c>
      <c r="B728">
        <v>605</v>
      </c>
      <c r="C728" t="s">
        <v>3969</v>
      </c>
      <c r="D728">
        <v>29</v>
      </c>
      <c r="E728" t="s">
        <v>17</v>
      </c>
      <c r="F728">
        <v>2026</v>
      </c>
      <c r="G728" t="s">
        <v>3970</v>
      </c>
      <c r="H728" t="s">
        <v>3971</v>
      </c>
      <c r="I728" t="s">
        <v>3972</v>
      </c>
      <c r="J728" t="s">
        <v>1062</v>
      </c>
    </row>
    <row r="729" spans="1:11">
      <c r="A729">
        <v>6</v>
      </c>
      <c r="B729">
        <v>606</v>
      </c>
      <c r="C729" t="s">
        <v>3973</v>
      </c>
      <c r="D729">
        <v>29</v>
      </c>
      <c r="E729" t="s">
        <v>17</v>
      </c>
      <c r="F729">
        <v>2026</v>
      </c>
      <c r="G729" t="s">
        <v>3974</v>
      </c>
      <c r="H729" t="s">
        <v>3975</v>
      </c>
      <c r="I729" t="s">
        <v>3976</v>
      </c>
      <c r="J729" t="s">
        <v>1062</v>
      </c>
    </row>
    <row r="730" spans="1:11">
      <c r="A730">
        <v>7</v>
      </c>
      <c r="B730">
        <v>607</v>
      </c>
      <c r="C730" t="s">
        <v>3977</v>
      </c>
      <c r="D730">
        <v>29</v>
      </c>
      <c r="E730" t="s">
        <v>17</v>
      </c>
      <c r="F730">
        <v>2026</v>
      </c>
      <c r="G730" t="s">
        <v>3978</v>
      </c>
      <c r="H730" t="s">
        <v>3979</v>
      </c>
      <c r="I730" t="s">
        <v>3980</v>
      </c>
      <c r="J730" t="s">
        <v>1062</v>
      </c>
    </row>
    <row r="731" spans="1:11">
      <c r="A731">
        <v>8</v>
      </c>
      <c r="B731">
        <v>608</v>
      </c>
      <c r="C731" t="s">
        <v>3981</v>
      </c>
      <c r="D731">
        <v>29</v>
      </c>
      <c r="E731" t="s">
        <v>17</v>
      </c>
      <c r="F731">
        <v>2026</v>
      </c>
      <c r="G731" t="s">
        <v>3712</v>
      </c>
      <c r="H731" t="s">
        <v>2914</v>
      </c>
      <c r="I731" t="s">
        <v>4209</v>
      </c>
      <c r="J731" t="s">
        <v>1062</v>
      </c>
    </row>
    <row r="732" spans="1:11">
      <c r="A732">
        <v>9</v>
      </c>
      <c r="B732">
        <v>609</v>
      </c>
      <c r="C732" t="s">
        <v>3982</v>
      </c>
      <c r="D732">
        <v>29</v>
      </c>
      <c r="E732" t="s">
        <v>17</v>
      </c>
      <c r="F732">
        <v>2026</v>
      </c>
      <c r="G732" t="s">
        <v>3712</v>
      </c>
      <c r="H732" t="s">
        <v>2914</v>
      </c>
      <c r="I732" t="s">
        <v>4209</v>
      </c>
      <c r="J732" t="s">
        <v>1062</v>
      </c>
    </row>
    <row r="733" spans="1:11">
      <c r="A733">
        <v>10</v>
      </c>
      <c r="B733">
        <v>610</v>
      </c>
      <c r="C733" t="s">
        <v>3983</v>
      </c>
      <c r="D733">
        <v>29</v>
      </c>
      <c r="E733" t="s">
        <v>17</v>
      </c>
      <c r="F733">
        <v>2026</v>
      </c>
      <c r="G733" t="s">
        <v>3984</v>
      </c>
      <c r="H733" t="s">
        <v>3985</v>
      </c>
      <c r="I733" t="s">
        <v>3986</v>
      </c>
      <c r="J733" t="s">
        <v>1062</v>
      </c>
    </row>
    <row r="734" spans="1:11">
      <c r="A734">
        <v>11</v>
      </c>
      <c r="B734">
        <v>611</v>
      </c>
      <c r="C734" t="s">
        <v>3987</v>
      </c>
      <c r="D734">
        <v>29</v>
      </c>
      <c r="E734" t="s">
        <v>17</v>
      </c>
      <c r="F734">
        <v>2026</v>
      </c>
      <c r="G734" t="s">
        <v>3988</v>
      </c>
      <c r="H734" t="s">
        <v>3989</v>
      </c>
      <c r="I734" t="s">
        <v>3990</v>
      </c>
      <c r="J734" t="s">
        <v>1062</v>
      </c>
    </row>
    <row r="735" spans="1:11">
      <c r="A735">
        <v>12</v>
      </c>
      <c r="B735">
        <v>612</v>
      </c>
      <c r="C735" t="s">
        <v>3991</v>
      </c>
      <c r="D735">
        <v>29</v>
      </c>
      <c r="E735" t="s">
        <v>17</v>
      </c>
      <c r="F735">
        <v>2026</v>
      </c>
      <c r="G735" t="s">
        <v>3992</v>
      </c>
      <c r="H735" t="s">
        <v>3993</v>
      </c>
      <c r="I735" t="s">
        <v>3994</v>
      </c>
      <c r="J735" t="s">
        <v>1062</v>
      </c>
    </row>
    <row r="736" spans="1:11">
      <c r="A736">
        <v>13</v>
      </c>
      <c r="B736">
        <v>613</v>
      </c>
      <c r="C736" t="s">
        <v>3995</v>
      </c>
      <c r="D736">
        <v>29</v>
      </c>
      <c r="E736" t="s">
        <v>17</v>
      </c>
      <c r="F736">
        <v>2026</v>
      </c>
      <c r="G736" t="s">
        <v>3996</v>
      </c>
      <c r="H736" t="s">
        <v>3339</v>
      </c>
      <c r="I736" t="s">
        <v>3997</v>
      </c>
      <c r="J736" t="s">
        <v>1062</v>
      </c>
    </row>
    <row r="737" spans="1:11">
      <c r="A737">
        <v>14</v>
      </c>
      <c r="B737">
        <v>614</v>
      </c>
      <c r="C737" t="s">
        <v>3998</v>
      </c>
      <c r="D737">
        <v>29</v>
      </c>
      <c r="E737" t="s">
        <v>17</v>
      </c>
      <c r="F737">
        <v>2026</v>
      </c>
      <c r="G737" t="s">
        <v>3999</v>
      </c>
      <c r="H737" t="s">
        <v>4000</v>
      </c>
      <c r="I737" t="s">
        <v>4001</v>
      </c>
      <c r="J737" t="s">
        <v>1062</v>
      </c>
    </row>
    <row r="738" spans="1:11">
      <c r="A738">
        <v>15</v>
      </c>
      <c r="B738">
        <v>615</v>
      </c>
      <c r="C738" t="s">
        <v>4002</v>
      </c>
      <c r="D738">
        <v>29</v>
      </c>
      <c r="E738" t="s">
        <v>17</v>
      </c>
      <c r="F738">
        <v>2026</v>
      </c>
      <c r="G738" t="s">
        <v>4003</v>
      </c>
      <c r="H738" t="s">
        <v>4004</v>
      </c>
      <c r="I738" t="s">
        <v>4005</v>
      </c>
      <c r="J738" t="s">
        <v>1062</v>
      </c>
    </row>
    <row r="739" spans="1:11">
      <c r="A739">
        <v>16</v>
      </c>
      <c r="B739">
        <v>616</v>
      </c>
      <c r="C739" t="s">
        <v>4006</v>
      </c>
      <c r="D739">
        <v>29</v>
      </c>
      <c r="E739" t="s">
        <v>17</v>
      </c>
      <c r="F739">
        <v>2026</v>
      </c>
      <c r="G739" t="s">
        <v>4007</v>
      </c>
      <c r="H739" t="s">
        <v>4008</v>
      </c>
      <c r="I739" t="s">
        <v>4009</v>
      </c>
      <c r="J739" t="s">
        <v>1062</v>
      </c>
    </row>
    <row r="740" spans="1:11">
      <c r="A740">
        <v>17</v>
      </c>
      <c r="B740">
        <v>617</v>
      </c>
      <c r="C740" t="s">
        <v>4010</v>
      </c>
      <c r="D740">
        <v>29</v>
      </c>
      <c r="E740" t="s">
        <v>17</v>
      </c>
      <c r="F740">
        <v>2026</v>
      </c>
      <c r="G740" t="s">
        <v>4011</v>
      </c>
      <c r="H740" t="s">
        <v>4012</v>
      </c>
      <c r="I740" t="s">
        <v>4013</v>
      </c>
      <c r="J740" t="s">
        <v>1062</v>
      </c>
    </row>
    <row r="741" spans="1:11">
      <c r="A741">
        <v>18</v>
      </c>
      <c r="B741">
        <v>618</v>
      </c>
      <c r="C741" t="s">
        <v>4014</v>
      </c>
      <c r="D741">
        <v>29</v>
      </c>
      <c r="E741" t="s">
        <v>17</v>
      </c>
      <c r="F741">
        <v>2026</v>
      </c>
      <c r="G741" t="s">
        <v>4015</v>
      </c>
      <c r="H741" t="s">
        <v>4016</v>
      </c>
      <c r="I741" t="s">
        <v>4017</v>
      </c>
      <c r="J741" t="s">
        <v>1062</v>
      </c>
    </row>
    <row r="742" spans="1:11">
      <c r="A742">
        <v>19</v>
      </c>
      <c r="B742">
        <v>619</v>
      </c>
      <c r="C742" t="s">
        <v>4018</v>
      </c>
      <c r="D742">
        <v>29</v>
      </c>
      <c r="E742" t="s">
        <v>17</v>
      </c>
      <c r="F742">
        <v>2026</v>
      </c>
      <c r="G742" t="s">
        <v>4019</v>
      </c>
      <c r="H742" t="s">
        <v>4020</v>
      </c>
      <c r="I742" t="s">
        <v>4021</v>
      </c>
      <c r="J742" t="s">
        <v>1062</v>
      </c>
    </row>
    <row r="743" spans="1:11">
      <c r="A743">
        <v>20</v>
      </c>
      <c r="B743">
        <v>620</v>
      </c>
      <c r="C743" t="s">
        <v>4022</v>
      </c>
      <c r="D743">
        <v>29</v>
      </c>
      <c r="E743" t="s">
        <v>17</v>
      </c>
      <c r="F743">
        <v>2026</v>
      </c>
      <c r="G743" t="s">
        <v>4023</v>
      </c>
      <c r="H743" t="s">
        <v>4024</v>
      </c>
      <c r="I743" t="s">
        <v>4025</v>
      </c>
      <c r="J743" t="s">
        <v>1062</v>
      </c>
    </row>
    <row r="745" spans="1:11" s="77" customFormat="1" ht="18">
      <c r="C745" s="77" t="s">
        <v>4034</v>
      </c>
    </row>
    <row r="746" spans="1:11" ht="18">
      <c r="B746" s="77"/>
      <c r="C746" s="10" t="s">
        <v>25</v>
      </c>
      <c r="D746" s="141" t="s">
        <v>10</v>
      </c>
      <c r="E746" s="141" t="s">
        <v>11</v>
      </c>
      <c r="F746" s="141" t="s">
        <v>12</v>
      </c>
      <c r="G746" s="2" t="s">
        <v>27</v>
      </c>
      <c r="H746" s="2" t="s">
        <v>26</v>
      </c>
      <c r="I746" s="2" t="s">
        <v>28</v>
      </c>
      <c r="J746" s="2" t="s">
        <v>9</v>
      </c>
      <c r="K746" s="64"/>
    </row>
    <row r="747" spans="1:11">
      <c r="A747">
        <v>1</v>
      </c>
      <c r="B747">
        <v>621</v>
      </c>
      <c r="C747" t="s">
        <v>4035</v>
      </c>
      <c r="D747">
        <v>30</v>
      </c>
      <c r="E747" t="s">
        <v>17</v>
      </c>
      <c r="F747">
        <v>2026</v>
      </c>
      <c r="G747" t="s">
        <v>4036</v>
      </c>
      <c r="H747" t="s">
        <v>2462</v>
      </c>
      <c r="I747" t="s">
        <v>2463</v>
      </c>
      <c r="J747" t="s">
        <v>1062</v>
      </c>
    </row>
    <row r="748" spans="1:11">
      <c r="A748">
        <v>2</v>
      </c>
      <c r="B748">
        <v>622</v>
      </c>
      <c r="C748" t="s">
        <v>4037</v>
      </c>
      <c r="D748">
        <v>30</v>
      </c>
      <c r="E748" t="s">
        <v>17</v>
      </c>
      <c r="F748">
        <v>2026</v>
      </c>
      <c r="G748" t="s">
        <v>4038</v>
      </c>
      <c r="H748" s="61" t="s">
        <v>4039</v>
      </c>
      <c r="I748" t="s">
        <v>4040</v>
      </c>
      <c r="J748" t="s">
        <v>1062</v>
      </c>
    </row>
    <row r="749" spans="1:11">
      <c r="A749">
        <v>3</v>
      </c>
      <c r="B749">
        <v>623</v>
      </c>
      <c r="C749" s="12" t="s">
        <v>4041</v>
      </c>
      <c r="D749">
        <v>30</v>
      </c>
      <c r="E749" t="s">
        <v>17</v>
      </c>
      <c r="F749">
        <v>2026</v>
      </c>
      <c r="G749" s="12" t="s">
        <v>4042</v>
      </c>
      <c r="H749" s="12" t="s">
        <v>2962</v>
      </c>
      <c r="I749" s="12" t="s">
        <v>3012</v>
      </c>
      <c r="J749" t="s">
        <v>1062</v>
      </c>
    </row>
    <row r="750" spans="1:11">
      <c r="A750">
        <v>4</v>
      </c>
      <c r="B750">
        <v>624</v>
      </c>
      <c r="C750" s="12" t="s">
        <v>4043</v>
      </c>
      <c r="D750">
        <v>30</v>
      </c>
      <c r="E750" t="s">
        <v>17</v>
      </c>
      <c r="F750">
        <v>2026</v>
      </c>
      <c r="G750" s="12" t="s">
        <v>4044</v>
      </c>
      <c r="H750" s="12" t="s">
        <v>4045</v>
      </c>
      <c r="I750" s="12" t="s">
        <v>4046</v>
      </c>
      <c r="J750" t="s">
        <v>1062</v>
      </c>
    </row>
    <row r="751" spans="1:11">
      <c r="A751">
        <v>5</v>
      </c>
      <c r="B751">
        <v>625</v>
      </c>
      <c r="C751" s="12" t="s">
        <v>4047</v>
      </c>
      <c r="D751">
        <v>30</v>
      </c>
      <c r="E751" t="s">
        <v>17</v>
      </c>
      <c r="F751">
        <v>2026</v>
      </c>
      <c r="G751" s="12" t="s">
        <v>4048</v>
      </c>
      <c r="H751" s="12" t="s">
        <v>4049</v>
      </c>
      <c r="I751" s="12" t="s">
        <v>4050</v>
      </c>
      <c r="J751" t="s">
        <v>1062</v>
      </c>
    </row>
    <row r="752" spans="1:11">
      <c r="A752">
        <v>6</v>
      </c>
      <c r="B752">
        <v>626</v>
      </c>
      <c r="C752" s="12" t="s">
        <v>4051</v>
      </c>
      <c r="D752">
        <v>30</v>
      </c>
      <c r="E752" t="s">
        <v>17</v>
      </c>
      <c r="F752">
        <v>2026</v>
      </c>
      <c r="G752" s="12" t="s">
        <v>225</v>
      </c>
      <c r="H752" s="12" t="s">
        <v>4052</v>
      </c>
      <c r="I752" s="12" t="s">
        <v>4053</v>
      </c>
      <c r="J752" t="s">
        <v>1062</v>
      </c>
    </row>
    <row r="753" spans="1:11">
      <c r="A753">
        <v>7</v>
      </c>
      <c r="B753">
        <v>627</v>
      </c>
      <c r="C753" s="12" t="s">
        <v>4054</v>
      </c>
      <c r="D753">
        <v>30</v>
      </c>
      <c r="E753" t="s">
        <v>17</v>
      </c>
      <c r="F753">
        <v>2026</v>
      </c>
      <c r="G753" s="12" t="s">
        <v>4055</v>
      </c>
      <c r="H753" s="12" t="s">
        <v>4056</v>
      </c>
      <c r="I753" s="12" t="s">
        <v>4057</v>
      </c>
      <c r="J753" t="s">
        <v>1062</v>
      </c>
    </row>
    <row r="754" spans="1:11">
      <c r="A754">
        <v>8</v>
      </c>
      <c r="B754">
        <v>628</v>
      </c>
      <c r="C754" s="12" t="s">
        <v>4058</v>
      </c>
      <c r="D754">
        <v>30</v>
      </c>
      <c r="E754" t="s">
        <v>17</v>
      </c>
      <c r="F754">
        <v>2026</v>
      </c>
      <c r="G754" s="12" t="s">
        <v>2993</v>
      </c>
      <c r="H754" s="12" t="s">
        <v>2994</v>
      </c>
      <c r="I754" s="12" t="s">
        <v>3028</v>
      </c>
      <c r="J754" t="s">
        <v>1062</v>
      </c>
    </row>
    <row r="755" spans="1:11">
      <c r="A755">
        <v>9</v>
      </c>
      <c r="B755">
        <v>629</v>
      </c>
      <c r="C755" s="12" t="s">
        <v>4059</v>
      </c>
      <c r="D755">
        <v>30</v>
      </c>
      <c r="E755" t="s">
        <v>17</v>
      </c>
      <c r="F755">
        <v>2026</v>
      </c>
      <c r="G755" s="12" t="s">
        <v>4060</v>
      </c>
      <c r="H755" s="12" t="s">
        <v>4061</v>
      </c>
      <c r="I755" s="12" t="s">
        <v>4062</v>
      </c>
      <c r="J755" t="s">
        <v>1062</v>
      </c>
    </row>
    <row r="756" spans="1:11">
      <c r="A756">
        <v>10</v>
      </c>
      <c r="B756">
        <v>630</v>
      </c>
      <c r="C756" s="12" t="s">
        <v>4063</v>
      </c>
      <c r="D756">
        <v>30</v>
      </c>
      <c r="E756" t="s">
        <v>17</v>
      </c>
      <c r="F756">
        <v>2026</v>
      </c>
      <c r="G756" s="12" t="s">
        <v>4064</v>
      </c>
      <c r="H756" s="12" t="s">
        <v>4065</v>
      </c>
      <c r="I756" s="12" t="s">
        <v>4066</v>
      </c>
      <c r="J756" t="s">
        <v>1062</v>
      </c>
    </row>
    <row r="757" spans="1:11">
      <c r="A757">
        <v>11</v>
      </c>
      <c r="B757">
        <v>631</v>
      </c>
      <c r="C757" s="12" t="s">
        <v>4067</v>
      </c>
      <c r="D757">
        <v>30</v>
      </c>
      <c r="E757" t="s">
        <v>17</v>
      </c>
      <c r="F757">
        <v>2026</v>
      </c>
      <c r="G757" s="12" t="s">
        <v>4068</v>
      </c>
      <c r="H757" s="12" t="s">
        <v>4069</v>
      </c>
      <c r="I757" s="12" t="s">
        <v>4070</v>
      </c>
      <c r="J757" t="s">
        <v>1062</v>
      </c>
    </row>
    <row r="758" spans="1:11">
      <c r="A758">
        <v>12</v>
      </c>
      <c r="B758">
        <v>632</v>
      </c>
      <c r="C758" s="12" t="s">
        <v>4071</v>
      </c>
      <c r="D758">
        <v>30</v>
      </c>
      <c r="E758" t="s">
        <v>17</v>
      </c>
      <c r="F758">
        <v>2026</v>
      </c>
      <c r="G758" s="12" t="s">
        <v>4072</v>
      </c>
      <c r="H758" s="12" t="s">
        <v>4073</v>
      </c>
      <c r="I758" s="12" t="s">
        <v>4074</v>
      </c>
      <c r="J758" t="s">
        <v>1062</v>
      </c>
    </row>
    <row r="759" spans="1:11">
      <c r="A759">
        <v>13</v>
      </c>
      <c r="B759">
        <v>633</v>
      </c>
      <c r="C759" s="12" t="s">
        <v>4075</v>
      </c>
      <c r="D759">
        <v>30</v>
      </c>
      <c r="E759" t="s">
        <v>17</v>
      </c>
      <c r="F759">
        <v>2026</v>
      </c>
      <c r="G759" s="12" t="s">
        <v>4076</v>
      </c>
      <c r="H759" s="12" t="s">
        <v>4077</v>
      </c>
      <c r="I759" s="12" t="s">
        <v>4078</v>
      </c>
      <c r="J759" t="s">
        <v>1062</v>
      </c>
    </row>
    <row r="760" spans="1:11">
      <c r="A760">
        <v>14</v>
      </c>
      <c r="B760">
        <v>634</v>
      </c>
      <c r="C760" s="12" t="s">
        <v>4079</v>
      </c>
      <c r="D760">
        <v>30</v>
      </c>
      <c r="E760" t="s">
        <v>17</v>
      </c>
      <c r="F760">
        <v>2026</v>
      </c>
      <c r="G760" s="12" t="s">
        <v>4080</v>
      </c>
      <c r="H760" s="12" t="s">
        <v>4081</v>
      </c>
      <c r="I760" s="12" t="s">
        <v>4082</v>
      </c>
      <c r="J760" t="s">
        <v>1062</v>
      </c>
    </row>
    <row r="761" spans="1:11">
      <c r="A761">
        <v>15</v>
      </c>
      <c r="B761">
        <v>635</v>
      </c>
      <c r="C761" s="12" t="s">
        <v>4083</v>
      </c>
      <c r="D761">
        <v>30</v>
      </c>
      <c r="E761" t="s">
        <v>17</v>
      </c>
      <c r="F761">
        <v>2026</v>
      </c>
      <c r="G761" s="12" t="s">
        <v>4055</v>
      </c>
      <c r="H761" s="12" t="s">
        <v>4056</v>
      </c>
      <c r="I761" s="12" t="s">
        <v>4085</v>
      </c>
      <c r="J761" t="s">
        <v>1062</v>
      </c>
    </row>
    <row r="762" spans="1:11">
      <c r="A762">
        <v>16</v>
      </c>
      <c r="B762">
        <v>636</v>
      </c>
      <c r="C762" s="12" t="s">
        <v>4086</v>
      </c>
      <c r="D762">
        <v>30</v>
      </c>
      <c r="E762" t="s">
        <v>17</v>
      </c>
      <c r="F762">
        <v>2026</v>
      </c>
      <c r="G762" s="12" t="s">
        <v>4087</v>
      </c>
      <c r="H762" s="12" t="s">
        <v>4088</v>
      </c>
      <c r="I762" s="12" t="s">
        <v>4089</v>
      </c>
      <c r="J762" t="s">
        <v>1062</v>
      </c>
    </row>
    <row r="764" spans="1:11" s="77" customFormat="1" ht="18">
      <c r="C764" s="77" t="s">
        <v>4090</v>
      </c>
      <c r="J764"/>
    </row>
    <row r="765" spans="1:11" ht="18">
      <c r="B765" s="77"/>
      <c r="C765" s="10" t="s">
        <v>25</v>
      </c>
      <c r="D765" s="141" t="s">
        <v>10</v>
      </c>
      <c r="E765" s="141" t="s">
        <v>11</v>
      </c>
      <c r="F765" s="141" t="s">
        <v>12</v>
      </c>
      <c r="G765" s="2" t="s">
        <v>27</v>
      </c>
      <c r="H765" s="2" t="s">
        <v>26</v>
      </c>
      <c r="I765" s="2" t="s">
        <v>28</v>
      </c>
      <c r="J765" s="2" t="s">
        <v>9</v>
      </c>
      <c r="K765" s="64"/>
    </row>
    <row r="766" spans="1:11">
      <c r="A766">
        <v>1</v>
      </c>
      <c r="B766">
        <v>637</v>
      </c>
      <c r="C766" s="12" t="s">
        <v>4091</v>
      </c>
      <c r="D766">
        <v>23</v>
      </c>
      <c r="E766" s="12" t="s">
        <v>17</v>
      </c>
      <c r="F766" s="12">
        <v>2026</v>
      </c>
      <c r="G766" s="12" t="s">
        <v>4093</v>
      </c>
      <c r="H766" s="12" t="s">
        <v>4092</v>
      </c>
      <c r="I766" s="12" t="s">
        <v>4094</v>
      </c>
      <c r="J766" t="s">
        <v>1062</v>
      </c>
    </row>
    <row r="767" spans="1:11">
      <c r="A767">
        <v>2</v>
      </c>
      <c r="B767">
        <v>638</v>
      </c>
      <c r="C767" s="12" t="s">
        <v>4096</v>
      </c>
      <c r="D767">
        <v>23</v>
      </c>
      <c r="E767" s="12" t="s">
        <v>17</v>
      </c>
      <c r="F767" s="12">
        <v>2026</v>
      </c>
      <c r="G767" s="12" t="s">
        <v>4095</v>
      </c>
      <c r="H767" s="12" t="s">
        <v>4097</v>
      </c>
      <c r="I767" s="12" t="s">
        <v>4098</v>
      </c>
      <c r="J767" t="s">
        <v>1062</v>
      </c>
    </row>
    <row r="768" spans="1:11">
      <c r="A768">
        <v>3</v>
      </c>
      <c r="B768">
        <v>639</v>
      </c>
      <c r="C768" s="12" t="s">
        <v>4099</v>
      </c>
      <c r="D768">
        <v>23</v>
      </c>
      <c r="E768" s="12" t="s">
        <v>17</v>
      </c>
      <c r="F768" s="12">
        <v>2026</v>
      </c>
      <c r="G768" s="12" t="s">
        <v>4100</v>
      </c>
      <c r="H768" s="12" t="s">
        <v>4101</v>
      </c>
      <c r="I768" s="12" t="s">
        <v>4062</v>
      </c>
      <c r="J768" t="s">
        <v>1062</v>
      </c>
    </row>
    <row r="769" spans="1:10">
      <c r="A769">
        <v>4</v>
      </c>
      <c r="B769">
        <v>640</v>
      </c>
      <c r="C769" s="12" t="s">
        <v>4102</v>
      </c>
      <c r="D769">
        <v>23</v>
      </c>
      <c r="E769" s="12" t="s">
        <v>17</v>
      </c>
      <c r="F769" s="12">
        <v>2026</v>
      </c>
      <c r="G769" s="12" t="s">
        <v>4103</v>
      </c>
      <c r="H769" s="12" t="s">
        <v>4104</v>
      </c>
      <c r="I769" s="12" t="s">
        <v>4105</v>
      </c>
      <c r="J769" t="s">
        <v>1062</v>
      </c>
    </row>
    <row r="770" spans="1:10">
      <c r="A770">
        <v>5</v>
      </c>
      <c r="B770">
        <v>641</v>
      </c>
      <c r="C770" s="12" t="s">
        <v>4106</v>
      </c>
      <c r="D770">
        <v>23</v>
      </c>
      <c r="E770" s="12" t="s">
        <v>17</v>
      </c>
      <c r="F770" s="12">
        <v>2026</v>
      </c>
      <c r="G770" s="12" t="s">
        <v>4107</v>
      </c>
      <c r="H770" s="12" t="s">
        <v>4108</v>
      </c>
      <c r="I770" s="12" t="s">
        <v>4109</v>
      </c>
      <c r="J770" t="s">
        <v>1062</v>
      </c>
    </row>
    <row r="771" spans="1:10">
      <c r="A771">
        <v>6</v>
      </c>
      <c r="B771">
        <v>642</v>
      </c>
      <c r="C771" s="12" t="s">
        <v>4110</v>
      </c>
      <c r="D771">
        <v>23</v>
      </c>
      <c r="E771" s="12" t="s">
        <v>17</v>
      </c>
      <c r="F771" s="12">
        <v>2026</v>
      </c>
      <c r="G771" s="12" t="s">
        <v>4111</v>
      </c>
      <c r="H771" s="12" t="s">
        <v>4112</v>
      </c>
      <c r="I771" s="12" t="s">
        <v>4113</v>
      </c>
      <c r="J771" t="s">
        <v>1062</v>
      </c>
    </row>
    <row r="772" spans="1:10">
      <c r="A772">
        <v>7</v>
      </c>
      <c r="B772">
        <v>643</v>
      </c>
      <c r="C772" s="12" t="s">
        <v>4114</v>
      </c>
      <c r="D772">
        <v>23</v>
      </c>
      <c r="E772" s="12" t="s">
        <v>17</v>
      </c>
      <c r="F772" s="12">
        <v>2026</v>
      </c>
      <c r="G772" s="12" t="s">
        <v>4115</v>
      </c>
      <c r="H772" s="12" t="s">
        <v>4116</v>
      </c>
      <c r="I772" s="12" t="s">
        <v>4117</v>
      </c>
      <c r="J772" t="s">
        <v>1062</v>
      </c>
    </row>
    <row r="773" spans="1:10">
      <c r="A773">
        <v>8</v>
      </c>
      <c r="B773">
        <v>644</v>
      </c>
      <c r="C773" s="12" t="s">
        <v>4118</v>
      </c>
      <c r="D773">
        <v>23</v>
      </c>
      <c r="E773" s="12" t="s">
        <v>17</v>
      </c>
      <c r="F773" s="12">
        <v>2026</v>
      </c>
      <c r="G773" s="12" t="s">
        <v>4119</v>
      </c>
      <c r="H773" s="12" t="s">
        <v>4120</v>
      </c>
      <c r="I773" s="12" t="s">
        <v>4121</v>
      </c>
      <c r="J773" t="s">
        <v>1062</v>
      </c>
    </row>
    <row r="774" spans="1:10">
      <c r="A774">
        <v>9</v>
      </c>
      <c r="B774">
        <v>645</v>
      </c>
      <c r="C774" s="12" t="s">
        <v>4122</v>
      </c>
      <c r="D774">
        <v>23</v>
      </c>
      <c r="E774" s="12" t="s">
        <v>17</v>
      </c>
      <c r="F774" s="12">
        <v>2026</v>
      </c>
      <c r="G774" s="12" t="s">
        <v>4123</v>
      </c>
      <c r="H774" s="12" t="s">
        <v>4124</v>
      </c>
      <c r="I774" s="12" t="s">
        <v>4125</v>
      </c>
      <c r="J774" t="s">
        <v>1062</v>
      </c>
    </row>
    <row r="775" spans="1:10">
      <c r="A775">
        <v>10</v>
      </c>
      <c r="B775">
        <v>646</v>
      </c>
      <c r="C775" s="12" t="s">
        <v>4126</v>
      </c>
      <c r="D775">
        <v>23</v>
      </c>
      <c r="E775" s="12" t="s">
        <v>17</v>
      </c>
      <c r="F775" s="12">
        <v>2026</v>
      </c>
      <c r="G775" s="12" t="s">
        <v>4127</v>
      </c>
      <c r="H775" s="12" t="s">
        <v>4128</v>
      </c>
      <c r="I775" s="12" t="s">
        <v>4129</v>
      </c>
      <c r="J775" t="s">
        <v>1062</v>
      </c>
    </row>
    <row r="776" spans="1:10">
      <c r="A776">
        <v>11</v>
      </c>
      <c r="B776">
        <v>647</v>
      </c>
      <c r="C776" s="12" t="s">
        <v>4130</v>
      </c>
      <c r="D776">
        <v>23</v>
      </c>
      <c r="E776" s="12" t="s">
        <v>17</v>
      </c>
      <c r="F776" s="12">
        <v>2026</v>
      </c>
      <c r="G776" s="12" t="s">
        <v>4111</v>
      </c>
      <c r="H776" s="12" t="s">
        <v>4131</v>
      </c>
      <c r="I776" s="12" t="s">
        <v>4132</v>
      </c>
      <c r="J776" t="s">
        <v>1062</v>
      </c>
    </row>
    <row r="777" spans="1:10">
      <c r="A777">
        <v>12</v>
      </c>
      <c r="B777">
        <v>648</v>
      </c>
      <c r="C777" s="12" t="s">
        <v>4133</v>
      </c>
      <c r="D777">
        <v>23</v>
      </c>
      <c r="E777" s="12" t="s">
        <v>17</v>
      </c>
      <c r="F777" s="12">
        <v>2026</v>
      </c>
      <c r="G777" s="12" t="s">
        <v>3130</v>
      </c>
      <c r="H777" s="12" t="s">
        <v>3131</v>
      </c>
      <c r="I777" s="12" t="s">
        <v>4134</v>
      </c>
      <c r="J777" t="s">
        <v>1062</v>
      </c>
    </row>
    <row r="778" spans="1:10">
      <c r="A778">
        <v>13</v>
      </c>
      <c r="B778">
        <v>649</v>
      </c>
      <c r="C778" s="12" t="s">
        <v>4135</v>
      </c>
      <c r="D778">
        <v>23</v>
      </c>
      <c r="E778" s="12" t="s">
        <v>17</v>
      </c>
      <c r="F778" s="12">
        <v>2026</v>
      </c>
      <c r="G778" s="12" t="s">
        <v>4136</v>
      </c>
      <c r="H778" s="12" t="s">
        <v>4137</v>
      </c>
      <c r="I778" s="12" t="s">
        <v>4138</v>
      </c>
      <c r="J778" t="s">
        <v>1062</v>
      </c>
    </row>
    <row r="779" spans="1:10">
      <c r="A779">
        <v>14</v>
      </c>
      <c r="B779">
        <v>650</v>
      </c>
      <c r="C779" s="12" t="s">
        <v>4139</v>
      </c>
      <c r="D779">
        <v>23</v>
      </c>
      <c r="E779" s="12" t="s">
        <v>17</v>
      </c>
      <c r="F779" s="12">
        <v>2026</v>
      </c>
      <c r="G779" s="12" t="s">
        <v>4111</v>
      </c>
      <c r="H779" s="12" t="s">
        <v>314</v>
      </c>
      <c r="I779" s="12" t="s">
        <v>1552</v>
      </c>
      <c r="J779" t="s">
        <v>1062</v>
      </c>
    </row>
    <row r="780" spans="1:10">
      <c r="A780">
        <v>15</v>
      </c>
      <c r="B780">
        <v>651</v>
      </c>
      <c r="C780" s="12" t="s">
        <v>4140</v>
      </c>
      <c r="D780">
        <v>23</v>
      </c>
      <c r="E780" s="12" t="s">
        <v>17</v>
      </c>
      <c r="F780" s="12">
        <v>2026</v>
      </c>
      <c r="G780" s="12" t="s">
        <v>4107</v>
      </c>
      <c r="H780" s="12" t="s">
        <v>4108</v>
      </c>
      <c r="I780" s="12" t="s">
        <v>4141</v>
      </c>
      <c r="J780" t="s">
        <v>1062</v>
      </c>
    </row>
    <row r="781" spans="1:10">
      <c r="A781">
        <v>16</v>
      </c>
      <c r="B781">
        <v>652</v>
      </c>
      <c r="C781" s="12" t="s">
        <v>4142</v>
      </c>
      <c r="D781">
        <v>23</v>
      </c>
      <c r="E781" s="12" t="s">
        <v>17</v>
      </c>
      <c r="F781" s="12">
        <v>2026</v>
      </c>
      <c r="G781" s="12" t="s">
        <v>4143</v>
      </c>
      <c r="H781" s="12" t="s">
        <v>4144</v>
      </c>
      <c r="I781" s="12" t="s">
        <v>4145</v>
      </c>
      <c r="J781" t="s">
        <v>1062</v>
      </c>
    </row>
    <row r="782" spans="1:10">
      <c r="A782">
        <v>17</v>
      </c>
      <c r="B782">
        <v>653</v>
      </c>
      <c r="C782" s="12" t="s">
        <v>4146</v>
      </c>
      <c r="D782">
        <v>23</v>
      </c>
      <c r="E782" s="12" t="s">
        <v>17</v>
      </c>
      <c r="F782" s="12">
        <v>2026</v>
      </c>
      <c r="G782" s="12" t="s">
        <v>4147</v>
      </c>
      <c r="H782" s="12" t="s">
        <v>4131</v>
      </c>
      <c r="I782" s="12" t="s">
        <v>4148</v>
      </c>
      <c r="J782" t="s">
        <v>1062</v>
      </c>
    </row>
    <row r="783" spans="1:10">
      <c r="A783">
        <v>18</v>
      </c>
      <c r="B783">
        <v>654</v>
      </c>
      <c r="C783" s="12" t="s">
        <v>4149</v>
      </c>
      <c r="D783">
        <v>23</v>
      </c>
      <c r="E783" s="12" t="s">
        <v>17</v>
      </c>
      <c r="F783" s="12">
        <v>2026</v>
      </c>
      <c r="G783" s="12" t="s">
        <v>4150</v>
      </c>
      <c r="H783" s="12" t="s">
        <v>4151</v>
      </c>
      <c r="I783" s="12" t="s">
        <v>4148</v>
      </c>
      <c r="J783" t="s">
        <v>1062</v>
      </c>
    </row>
    <row r="784" spans="1:10">
      <c r="A784">
        <v>19</v>
      </c>
      <c r="B784">
        <v>655</v>
      </c>
      <c r="C784" s="12" t="s">
        <v>4152</v>
      </c>
      <c r="D784">
        <v>23</v>
      </c>
      <c r="E784" s="12" t="s">
        <v>17</v>
      </c>
      <c r="F784" s="12">
        <v>2026</v>
      </c>
      <c r="G784" s="12" t="s">
        <v>4153</v>
      </c>
      <c r="H784" s="12" t="s">
        <v>4154</v>
      </c>
      <c r="I784" s="12" t="s">
        <v>4155</v>
      </c>
      <c r="J784" t="s">
        <v>1062</v>
      </c>
    </row>
    <row r="785" spans="1:10">
      <c r="A785">
        <v>20</v>
      </c>
      <c r="B785">
        <v>656</v>
      </c>
      <c r="C785" s="12" t="s">
        <v>4156</v>
      </c>
      <c r="D785">
        <v>23</v>
      </c>
      <c r="E785" s="12" t="s">
        <v>17</v>
      </c>
      <c r="F785" s="12">
        <v>2026</v>
      </c>
      <c r="G785" s="12" t="s">
        <v>4157</v>
      </c>
      <c r="H785" s="12" t="s">
        <v>4158</v>
      </c>
      <c r="I785" s="12" t="s">
        <v>4159</v>
      </c>
      <c r="J785" t="s">
        <v>1062</v>
      </c>
    </row>
    <row r="786" spans="1:10">
      <c r="A786">
        <v>22</v>
      </c>
      <c r="B786">
        <v>657</v>
      </c>
      <c r="C786" s="12" t="s">
        <v>4162</v>
      </c>
      <c r="D786">
        <v>23</v>
      </c>
      <c r="E786" s="12" t="s">
        <v>17</v>
      </c>
      <c r="F786" s="12">
        <v>2026</v>
      </c>
      <c r="G786" s="12" t="s">
        <v>4163</v>
      </c>
      <c r="H786" s="12" t="s">
        <v>4124</v>
      </c>
      <c r="I786" s="12" t="s">
        <v>4125</v>
      </c>
      <c r="J786" t="s">
        <v>1062</v>
      </c>
    </row>
    <row r="787" spans="1:10">
      <c r="A787">
        <v>21</v>
      </c>
      <c r="B787">
        <v>658</v>
      </c>
      <c r="C787" s="12" t="s">
        <v>4160</v>
      </c>
      <c r="D787">
        <v>23</v>
      </c>
      <c r="E787" s="12" t="s">
        <v>17</v>
      </c>
      <c r="F787" s="12">
        <v>2026</v>
      </c>
      <c r="G787" s="12" t="s">
        <v>2829</v>
      </c>
      <c r="H787" s="12" t="s">
        <v>2830</v>
      </c>
      <c r="I787" s="12" t="s">
        <v>4161</v>
      </c>
      <c r="J787" t="s">
        <v>1062</v>
      </c>
    </row>
    <row r="788" spans="1:10">
      <c r="A788">
        <v>23</v>
      </c>
      <c r="B788">
        <v>659</v>
      </c>
      <c r="C788" s="12" t="s">
        <v>4164</v>
      </c>
      <c r="D788">
        <v>23</v>
      </c>
      <c r="E788" s="12" t="s">
        <v>17</v>
      </c>
      <c r="F788" s="12">
        <v>2026</v>
      </c>
      <c r="G788" s="12" t="s">
        <v>4150</v>
      </c>
      <c r="H788" s="12" t="s">
        <v>4151</v>
      </c>
      <c r="I788" s="12" t="s">
        <v>1552</v>
      </c>
      <c r="J788" t="s">
        <v>1062</v>
      </c>
    </row>
    <row r="789" spans="1:10">
      <c r="A789">
        <v>24</v>
      </c>
      <c r="B789">
        <v>660</v>
      </c>
      <c r="C789" s="12" t="s">
        <v>4165</v>
      </c>
      <c r="D789">
        <v>23</v>
      </c>
      <c r="E789" s="12" t="s">
        <v>17</v>
      </c>
      <c r="F789" s="12">
        <v>2026</v>
      </c>
      <c r="G789" s="12" t="s">
        <v>4166</v>
      </c>
      <c r="H789" s="12" t="s">
        <v>3097</v>
      </c>
      <c r="I789" s="12" t="s">
        <v>4167</v>
      </c>
      <c r="J789" t="s">
        <v>1062</v>
      </c>
    </row>
    <row r="790" spans="1:10">
      <c r="A790">
        <v>25</v>
      </c>
      <c r="B790">
        <v>661</v>
      </c>
      <c r="C790" s="12" t="s">
        <v>4168</v>
      </c>
      <c r="D790">
        <v>23</v>
      </c>
      <c r="E790" s="12" t="s">
        <v>17</v>
      </c>
      <c r="F790" s="12">
        <v>2026</v>
      </c>
      <c r="G790" s="12" t="s">
        <v>4169</v>
      </c>
      <c r="H790" s="12" t="s">
        <v>4170</v>
      </c>
      <c r="I790" s="12" t="s">
        <v>4171</v>
      </c>
      <c r="J790" t="s">
        <v>1062</v>
      </c>
    </row>
    <row r="791" spans="1:10">
      <c r="A791">
        <v>26</v>
      </c>
      <c r="B791">
        <v>662</v>
      </c>
      <c r="C791" s="12" t="s">
        <v>4172</v>
      </c>
      <c r="D791">
        <v>23</v>
      </c>
      <c r="E791" s="12" t="s">
        <v>17</v>
      </c>
      <c r="F791" s="12">
        <v>2026</v>
      </c>
      <c r="G791" s="12" t="s">
        <v>4173</v>
      </c>
      <c r="H791" s="12" t="s">
        <v>4174</v>
      </c>
      <c r="I791" s="12" t="s">
        <v>4175</v>
      </c>
      <c r="J791" t="s">
        <v>1062</v>
      </c>
    </row>
    <row r="792" spans="1:10">
      <c r="A792">
        <v>27</v>
      </c>
      <c r="B792">
        <v>663</v>
      </c>
      <c r="C792" s="12" t="s">
        <v>4176</v>
      </c>
      <c r="D792">
        <v>23</v>
      </c>
      <c r="E792" s="12" t="s">
        <v>17</v>
      </c>
      <c r="F792" s="12">
        <v>2026</v>
      </c>
      <c r="G792" s="12" t="s">
        <v>4177</v>
      </c>
      <c r="H792" s="12" t="s">
        <v>4178</v>
      </c>
      <c r="I792" s="12" t="s">
        <v>4179</v>
      </c>
      <c r="J792" t="s">
        <v>1062</v>
      </c>
    </row>
    <row r="793" spans="1:10">
      <c r="A793">
        <v>28</v>
      </c>
      <c r="B793">
        <v>664</v>
      </c>
      <c r="C793" s="12" t="s">
        <v>4180</v>
      </c>
      <c r="D793">
        <v>23</v>
      </c>
      <c r="E793" s="12" t="s">
        <v>17</v>
      </c>
      <c r="F793" s="12">
        <v>2026</v>
      </c>
      <c r="G793" s="12" t="s">
        <v>4181</v>
      </c>
      <c r="H793" s="12" t="s">
        <v>4182</v>
      </c>
      <c r="I793" s="12" t="s">
        <v>3474</v>
      </c>
      <c r="J793" t="s">
        <v>1062</v>
      </c>
    </row>
    <row r="794" spans="1:10">
      <c r="A794">
        <v>29</v>
      </c>
      <c r="B794">
        <v>665</v>
      </c>
      <c r="C794" s="12" t="s">
        <v>4183</v>
      </c>
      <c r="D794">
        <v>23</v>
      </c>
      <c r="E794" s="12" t="s">
        <v>17</v>
      </c>
      <c r="F794" s="12">
        <v>2026</v>
      </c>
      <c r="G794" s="12" t="s">
        <v>4184</v>
      </c>
      <c r="H794" s="12" t="s">
        <v>4185</v>
      </c>
      <c r="I794" s="12" t="s">
        <v>4186</v>
      </c>
      <c r="J794" t="s">
        <v>1062</v>
      </c>
    </row>
    <row r="795" spans="1:10">
      <c r="A795">
        <v>30</v>
      </c>
      <c r="B795">
        <v>666</v>
      </c>
      <c r="C795" s="12" t="s">
        <v>4187</v>
      </c>
      <c r="D795">
        <v>23</v>
      </c>
      <c r="E795" s="12" t="s">
        <v>17</v>
      </c>
      <c r="F795" s="12">
        <v>2026</v>
      </c>
      <c r="G795" s="12" t="s">
        <v>4188</v>
      </c>
      <c r="H795" s="12" t="s">
        <v>4189</v>
      </c>
      <c r="I795" s="12" t="s">
        <v>4190</v>
      </c>
      <c r="J795" t="s">
        <v>1062</v>
      </c>
    </row>
    <row r="796" spans="1:10">
      <c r="A796">
        <v>31</v>
      </c>
      <c r="B796">
        <v>667</v>
      </c>
      <c r="C796" s="12" t="s">
        <v>4191</v>
      </c>
      <c r="D796">
        <v>23</v>
      </c>
      <c r="E796" s="12" t="s">
        <v>17</v>
      </c>
      <c r="F796" s="12">
        <v>2026</v>
      </c>
      <c r="G796" s="12" t="s">
        <v>4177</v>
      </c>
      <c r="H796" s="12" t="s">
        <v>4178</v>
      </c>
      <c r="I796" s="12" t="s">
        <v>1321</v>
      </c>
      <c r="J796" t="s">
        <v>1062</v>
      </c>
    </row>
    <row r="797" spans="1:10">
      <c r="A797">
        <v>32</v>
      </c>
      <c r="B797">
        <v>668</v>
      </c>
      <c r="C797" s="12" t="s">
        <v>4192</v>
      </c>
      <c r="D797">
        <v>23</v>
      </c>
      <c r="E797" s="12" t="s">
        <v>17</v>
      </c>
      <c r="F797" s="12">
        <v>2026</v>
      </c>
      <c r="G797" s="12" t="s">
        <v>4188</v>
      </c>
      <c r="H797" s="12" t="s">
        <v>4189</v>
      </c>
      <c r="I797" s="12" t="s">
        <v>4193</v>
      </c>
      <c r="J797" t="s">
        <v>1062</v>
      </c>
    </row>
    <row r="798" spans="1:10">
      <c r="A798">
        <v>33</v>
      </c>
      <c r="B798">
        <v>669</v>
      </c>
      <c r="C798" s="12" t="s">
        <v>4194</v>
      </c>
      <c r="D798">
        <v>23</v>
      </c>
      <c r="E798" s="12" t="s">
        <v>17</v>
      </c>
      <c r="F798" s="12">
        <v>2026</v>
      </c>
      <c r="G798" s="12" t="s">
        <v>4169</v>
      </c>
      <c r="H798" s="12" t="s">
        <v>4170</v>
      </c>
      <c r="I798" s="12" t="s">
        <v>4195</v>
      </c>
      <c r="J798" t="s">
        <v>1062</v>
      </c>
    </row>
    <row r="799" spans="1:10">
      <c r="A799">
        <v>34</v>
      </c>
      <c r="B799">
        <v>670</v>
      </c>
      <c r="C799" s="12" t="s">
        <v>4196</v>
      </c>
      <c r="D799">
        <v>23</v>
      </c>
      <c r="E799" s="12" t="s">
        <v>17</v>
      </c>
      <c r="F799" s="12">
        <v>2026</v>
      </c>
      <c r="G799" s="12" t="s">
        <v>2838</v>
      </c>
      <c r="H799" s="12" t="s">
        <v>2839</v>
      </c>
      <c r="I799" s="12" t="s">
        <v>4197</v>
      </c>
      <c r="J799" t="s">
        <v>1062</v>
      </c>
    </row>
    <row r="800" spans="1:10">
      <c r="A800">
        <v>35</v>
      </c>
      <c r="B800">
        <v>671</v>
      </c>
      <c r="C800" s="12" t="s">
        <v>4198</v>
      </c>
      <c r="D800">
        <v>23</v>
      </c>
      <c r="E800" s="12" t="s">
        <v>17</v>
      </c>
      <c r="F800" s="12">
        <v>2026</v>
      </c>
      <c r="G800" s="12" t="s">
        <v>4199</v>
      </c>
      <c r="H800" s="12" t="s">
        <v>4200</v>
      </c>
      <c r="I800" s="12" t="s">
        <v>4201</v>
      </c>
      <c r="J800" t="s">
        <v>1062</v>
      </c>
    </row>
    <row r="802" spans="1:11" s="77" customFormat="1" ht="18">
      <c r="C802" s="77" t="s">
        <v>4439</v>
      </c>
    </row>
    <row r="803" spans="1:11" ht="18">
      <c r="B803" s="77"/>
      <c r="C803" s="10" t="s">
        <v>25</v>
      </c>
      <c r="D803" s="142" t="s">
        <v>10</v>
      </c>
      <c r="E803" s="142" t="s">
        <v>11</v>
      </c>
      <c r="F803" s="142" t="s">
        <v>12</v>
      </c>
      <c r="G803" s="2" t="s">
        <v>27</v>
      </c>
      <c r="H803" s="2" t="s">
        <v>26</v>
      </c>
      <c r="I803" s="2" t="s">
        <v>28</v>
      </c>
      <c r="J803" s="2" t="s">
        <v>9</v>
      </c>
      <c r="K803" s="64"/>
    </row>
    <row r="804" spans="1:11">
      <c r="A804">
        <v>1</v>
      </c>
      <c r="B804">
        <v>672</v>
      </c>
      <c r="C804" t="s">
        <v>4211</v>
      </c>
      <c r="D804">
        <v>30</v>
      </c>
      <c r="E804" t="s">
        <v>17</v>
      </c>
      <c r="F804">
        <v>2026</v>
      </c>
      <c r="G804" t="s">
        <v>4212</v>
      </c>
      <c r="H804" t="s">
        <v>4213</v>
      </c>
      <c r="I804" t="s">
        <v>4214</v>
      </c>
      <c r="J804" t="s">
        <v>1062</v>
      </c>
    </row>
    <row r="805" spans="1:11">
      <c r="A805">
        <v>2</v>
      </c>
      <c r="B805">
        <v>673</v>
      </c>
      <c r="C805" t="s">
        <v>4215</v>
      </c>
      <c r="D805">
        <v>30</v>
      </c>
      <c r="E805" t="s">
        <v>17</v>
      </c>
      <c r="F805">
        <v>2026</v>
      </c>
      <c r="G805" t="s">
        <v>4216</v>
      </c>
      <c r="H805" t="s">
        <v>4217</v>
      </c>
      <c r="I805" t="s">
        <v>4218</v>
      </c>
      <c r="J805" t="s">
        <v>1062</v>
      </c>
    </row>
    <row r="806" spans="1:11">
      <c r="A806">
        <v>3</v>
      </c>
      <c r="B806">
        <v>674</v>
      </c>
      <c r="C806" t="s">
        <v>3709</v>
      </c>
      <c r="D806">
        <v>30</v>
      </c>
      <c r="E806" t="s">
        <v>17</v>
      </c>
      <c r="F806">
        <v>2026</v>
      </c>
      <c r="G806" t="s">
        <v>3706</v>
      </c>
      <c r="H806" t="s">
        <v>3707</v>
      </c>
      <c r="I806" t="s">
        <v>2209</v>
      </c>
      <c r="J806" t="s">
        <v>1062</v>
      </c>
    </row>
    <row r="807" spans="1:11">
      <c r="A807">
        <v>4</v>
      </c>
      <c r="B807">
        <v>675</v>
      </c>
      <c r="C807" t="s">
        <v>4219</v>
      </c>
      <c r="D807">
        <v>30</v>
      </c>
      <c r="E807" t="s">
        <v>17</v>
      </c>
      <c r="F807">
        <v>2026</v>
      </c>
      <c r="G807" t="s">
        <v>4220</v>
      </c>
      <c r="H807" t="s">
        <v>4221</v>
      </c>
      <c r="I807" t="s">
        <v>4222</v>
      </c>
      <c r="J807" t="s">
        <v>1062</v>
      </c>
    </row>
    <row r="808" spans="1:11">
      <c r="A808">
        <v>5</v>
      </c>
      <c r="B808">
        <v>676</v>
      </c>
      <c r="C808" t="s">
        <v>4223</v>
      </c>
      <c r="D808">
        <v>30</v>
      </c>
      <c r="E808" t="s">
        <v>17</v>
      </c>
      <c r="F808">
        <v>2026</v>
      </c>
      <c r="G808" t="s">
        <v>4224</v>
      </c>
      <c r="H808" t="s">
        <v>4225</v>
      </c>
      <c r="I808" t="s">
        <v>4226</v>
      </c>
      <c r="J808" t="s">
        <v>1062</v>
      </c>
    </row>
    <row r="809" spans="1:11">
      <c r="A809">
        <v>6</v>
      </c>
      <c r="B809">
        <v>677</v>
      </c>
      <c r="C809" t="s">
        <v>4227</v>
      </c>
      <c r="D809">
        <v>30</v>
      </c>
      <c r="E809" t="s">
        <v>17</v>
      </c>
      <c r="F809">
        <v>2026</v>
      </c>
      <c r="G809" t="s">
        <v>4228</v>
      </c>
      <c r="H809" t="s">
        <v>4229</v>
      </c>
      <c r="I809" t="s">
        <v>4230</v>
      </c>
      <c r="J809" t="s">
        <v>1062</v>
      </c>
    </row>
    <row r="810" spans="1:11">
      <c r="A810">
        <v>7</v>
      </c>
      <c r="B810">
        <v>678</v>
      </c>
      <c r="C810" t="s">
        <v>4231</v>
      </c>
      <c r="D810">
        <v>30</v>
      </c>
      <c r="E810" t="s">
        <v>17</v>
      </c>
      <c r="F810">
        <v>2026</v>
      </c>
      <c r="G810" t="s">
        <v>4232</v>
      </c>
      <c r="H810" t="s">
        <v>4233</v>
      </c>
      <c r="I810" t="s">
        <v>4234</v>
      </c>
      <c r="J810" t="s">
        <v>1062</v>
      </c>
    </row>
    <row r="811" spans="1:11">
      <c r="A811">
        <v>8</v>
      </c>
      <c r="B811">
        <v>679</v>
      </c>
      <c r="C811" t="s">
        <v>4235</v>
      </c>
      <c r="D811">
        <v>30</v>
      </c>
      <c r="E811" t="s">
        <v>17</v>
      </c>
      <c r="F811">
        <v>2026</v>
      </c>
      <c r="G811" t="s">
        <v>4236</v>
      </c>
      <c r="H811" t="s">
        <v>4237</v>
      </c>
      <c r="I811" t="s">
        <v>4238</v>
      </c>
      <c r="J811" t="s">
        <v>1062</v>
      </c>
    </row>
    <row r="812" spans="1:11">
      <c r="A812">
        <v>9</v>
      </c>
      <c r="B812">
        <v>680</v>
      </c>
      <c r="C812" t="s">
        <v>4239</v>
      </c>
      <c r="D812">
        <v>30</v>
      </c>
      <c r="E812" t="s">
        <v>17</v>
      </c>
      <c r="F812">
        <v>2026</v>
      </c>
      <c r="G812" t="s">
        <v>4240</v>
      </c>
      <c r="H812" t="s">
        <v>3023</v>
      </c>
      <c r="I812" t="s">
        <v>4241</v>
      </c>
      <c r="J812" t="s">
        <v>1062</v>
      </c>
    </row>
    <row r="813" spans="1:11">
      <c r="A813">
        <v>10</v>
      </c>
      <c r="B813">
        <v>681</v>
      </c>
      <c r="C813" t="s">
        <v>3729</v>
      </c>
      <c r="D813">
        <v>30</v>
      </c>
      <c r="E813" t="s">
        <v>17</v>
      </c>
      <c r="F813">
        <v>2026</v>
      </c>
      <c r="G813" t="s">
        <v>3730</v>
      </c>
      <c r="H813" t="s">
        <v>3456</v>
      </c>
      <c r="I813" t="s">
        <v>4242</v>
      </c>
      <c r="J813" t="s">
        <v>1062</v>
      </c>
    </row>
    <row r="814" spans="1:11">
      <c r="A814">
        <v>11</v>
      </c>
      <c r="B814">
        <v>682</v>
      </c>
      <c r="C814" t="s">
        <v>4243</v>
      </c>
      <c r="D814">
        <v>30</v>
      </c>
      <c r="E814" t="s">
        <v>17</v>
      </c>
      <c r="F814">
        <v>2026</v>
      </c>
      <c r="G814" t="s">
        <v>4244</v>
      </c>
      <c r="H814" t="s">
        <v>4245</v>
      </c>
      <c r="I814" t="s">
        <v>4246</v>
      </c>
      <c r="J814" t="s">
        <v>1062</v>
      </c>
    </row>
    <row r="815" spans="1:11">
      <c r="A815">
        <v>12</v>
      </c>
      <c r="B815">
        <v>683</v>
      </c>
      <c r="C815" t="s">
        <v>4247</v>
      </c>
      <c r="D815">
        <v>30</v>
      </c>
      <c r="E815" t="s">
        <v>17</v>
      </c>
      <c r="F815">
        <v>2026</v>
      </c>
      <c r="G815" t="s">
        <v>4236</v>
      </c>
      <c r="H815" t="s">
        <v>4237</v>
      </c>
      <c r="I815" t="s">
        <v>950</v>
      </c>
      <c r="J815" t="s">
        <v>1062</v>
      </c>
    </row>
    <row r="816" spans="1:11">
      <c r="A816">
        <v>13</v>
      </c>
      <c r="B816">
        <v>684</v>
      </c>
      <c r="C816" t="s">
        <v>4248</v>
      </c>
      <c r="D816">
        <v>30</v>
      </c>
      <c r="E816" t="s">
        <v>17</v>
      </c>
      <c r="F816">
        <v>2026</v>
      </c>
      <c r="G816" t="s">
        <v>4220</v>
      </c>
      <c r="H816" t="s">
        <v>4221</v>
      </c>
      <c r="I816" t="s">
        <v>4249</v>
      </c>
      <c r="J816" t="s">
        <v>1062</v>
      </c>
    </row>
    <row r="817" spans="1:11">
      <c r="A817">
        <v>14</v>
      </c>
      <c r="B817">
        <v>685</v>
      </c>
      <c r="C817" t="s">
        <v>3708</v>
      </c>
      <c r="D817">
        <v>30</v>
      </c>
      <c r="E817" t="s">
        <v>17</v>
      </c>
      <c r="F817">
        <v>2026</v>
      </c>
      <c r="G817" t="s">
        <v>3706</v>
      </c>
      <c r="H817" t="s">
        <v>3707</v>
      </c>
      <c r="I817" t="s">
        <v>1037</v>
      </c>
      <c r="J817" t="s">
        <v>1062</v>
      </c>
    </row>
    <row r="818" spans="1:11">
      <c r="A818">
        <v>15</v>
      </c>
      <c r="B818">
        <v>686</v>
      </c>
      <c r="C818" t="s">
        <v>4250</v>
      </c>
      <c r="D818">
        <v>30</v>
      </c>
      <c r="E818" t="s">
        <v>17</v>
      </c>
      <c r="F818">
        <v>2026</v>
      </c>
      <c r="G818" t="s">
        <v>3786</v>
      </c>
      <c r="H818" t="s">
        <v>3818</v>
      </c>
      <c r="I818" t="s">
        <v>4251</v>
      </c>
      <c r="J818" t="s">
        <v>1062</v>
      </c>
    </row>
    <row r="819" spans="1:11">
      <c r="A819">
        <v>16</v>
      </c>
      <c r="B819">
        <v>687</v>
      </c>
      <c r="C819" t="s">
        <v>4252</v>
      </c>
      <c r="D819">
        <v>30</v>
      </c>
      <c r="E819" t="s">
        <v>17</v>
      </c>
      <c r="F819">
        <v>2026</v>
      </c>
      <c r="G819" t="s">
        <v>4253</v>
      </c>
      <c r="H819" t="s">
        <v>304</v>
      </c>
      <c r="I819" t="s">
        <v>4254</v>
      </c>
      <c r="J819" t="s">
        <v>1062</v>
      </c>
    </row>
    <row r="820" spans="1:11">
      <c r="A820">
        <v>17</v>
      </c>
      <c r="B820">
        <v>688</v>
      </c>
      <c r="C820" t="s">
        <v>4255</v>
      </c>
      <c r="D820">
        <v>30</v>
      </c>
      <c r="E820" t="s">
        <v>17</v>
      </c>
      <c r="F820">
        <v>2026</v>
      </c>
      <c r="G820" t="s">
        <v>4256</v>
      </c>
      <c r="H820" t="s">
        <v>4238</v>
      </c>
      <c r="I820" t="s">
        <v>4257</v>
      </c>
      <c r="J820" t="s">
        <v>1062</v>
      </c>
    </row>
    <row r="821" spans="1:11">
      <c r="A821">
        <v>18</v>
      </c>
      <c r="B821">
        <v>689</v>
      </c>
      <c r="C821" t="s">
        <v>4258</v>
      </c>
      <c r="D821">
        <v>30</v>
      </c>
      <c r="E821" t="s">
        <v>17</v>
      </c>
      <c r="F821">
        <v>2026</v>
      </c>
      <c r="G821" t="s">
        <v>4259</v>
      </c>
      <c r="H821" t="s">
        <v>4260</v>
      </c>
      <c r="I821" t="s">
        <v>4261</v>
      </c>
      <c r="J821" t="s">
        <v>1062</v>
      </c>
    </row>
    <row r="822" spans="1:11">
      <c r="A822">
        <v>19</v>
      </c>
      <c r="B822">
        <v>690</v>
      </c>
      <c r="C822" t="s">
        <v>4262</v>
      </c>
      <c r="D822">
        <v>30</v>
      </c>
      <c r="E822" t="s">
        <v>17</v>
      </c>
      <c r="F822">
        <v>2026</v>
      </c>
      <c r="G822" t="s">
        <v>4263</v>
      </c>
      <c r="H822" t="s">
        <v>4264</v>
      </c>
      <c r="I822" t="s">
        <v>4265</v>
      </c>
      <c r="J822" t="s">
        <v>1062</v>
      </c>
    </row>
    <row r="823" spans="1:11">
      <c r="A823">
        <v>20</v>
      </c>
      <c r="B823">
        <v>691</v>
      </c>
      <c r="C823" t="s">
        <v>4266</v>
      </c>
      <c r="D823">
        <v>30</v>
      </c>
      <c r="E823" t="s">
        <v>17</v>
      </c>
      <c r="F823">
        <v>2026</v>
      </c>
      <c r="G823" t="s">
        <v>4267</v>
      </c>
      <c r="H823" t="s">
        <v>4268</v>
      </c>
      <c r="I823" t="s">
        <v>4269</v>
      </c>
      <c r="J823" t="s">
        <v>1062</v>
      </c>
    </row>
    <row r="824" spans="1:11">
      <c r="A824">
        <v>21</v>
      </c>
      <c r="B824">
        <v>692</v>
      </c>
      <c r="C824" s="12" t="s">
        <v>4287</v>
      </c>
      <c r="D824">
        <v>30</v>
      </c>
      <c r="E824" t="s">
        <v>17</v>
      </c>
      <c r="F824">
        <v>2026</v>
      </c>
      <c r="G824" t="s">
        <v>2977</v>
      </c>
      <c r="H824" s="12" t="s">
        <v>2978</v>
      </c>
      <c r="I824" t="s">
        <v>4270</v>
      </c>
      <c r="J824" t="s">
        <v>1062</v>
      </c>
    </row>
    <row r="825" spans="1:11">
      <c r="A825">
        <v>22</v>
      </c>
      <c r="B825">
        <v>693</v>
      </c>
      <c r="C825" t="s">
        <v>4271</v>
      </c>
      <c r="D825">
        <v>30</v>
      </c>
      <c r="E825" t="s">
        <v>17</v>
      </c>
      <c r="F825">
        <v>2026</v>
      </c>
      <c r="G825" t="s">
        <v>4272</v>
      </c>
      <c r="H825" t="s">
        <v>4273</v>
      </c>
      <c r="I825" t="s">
        <v>4274</v>
      </c>
      <c r="J825" t="s">
        <v>1062</v>
      </c>
    </row>
    <row r="826" spans="1:11">
      <c r="A826">
        <v>23</v>
      </c>
      <c r="B826">
        <v>694</v>
      </c>
      <c r="C826" t="s">
        <v>4275</v>
      </c>
      <c r="D826">
        <v>30</v>
      </c>
      <c r="E826" t="s">
        <v>17</v>
      </c>
      <c r="F826">
        <v>2026</v>
      </c>
      <c r="G826" t="s">
        <v>4276</v>
      </c>
      <c r="H826" t="s">
        <v>4277</v>
      </c>
      <c r="I826" t="s">
        <v>4278</v>
      </c>
      <c r="J826" t="s">
        <v>1062</v>
      </c>
    </row>
    <row r="827" spans="1:11">
      <c r="A827">
        <v>24</v>
      </c>
      <c r="B827">
        <v>695</v>
      </c>
      <c r="C827" t="s">
        <v>4279</v>
      </c>
      <c r="D827">
        <v>30</v>
      </c>
      <c r="E827" t="s">
        <v>17</v>
      </c>
      <c r="F827">
        <v>2026</v>
      </c>
      <c r="G827" t="s">
        <v>4280</v>
      </c>
      <c r="H827" t="s">
        <v>4281</v>
      </c>
      <c r="I827" t="s">
        <v>4282</v>
      </c>
      <c r="J827" t="s">
        <v>1062</v>
      </c>
    </row>
    <row r="828" spans="1:11">
      <c r="A828">
        <v>25</v>
      </c>
      <c r="B828">
        <v>696</v>
      </c>
      <c r="C828" t="s">
        <v>4283</v>
      </c>
      <c r="D828">
        <v>30</v>
      </c>
      <c r="E828" t="s">
        <v>17</v>
      </c>
      <c r="F828">
        <v>2026</v>
      </c>
      <c r="G828" t="s">
        <v>4284</v>
      </c>
      <c r="H828" t="s">
        <v>4285</v>
      </c>
      <c r="I828" t="s">
        <v>4286</v>
      </c>
      <c r="J828" t="s">
        <v>1062</v>
      </c>
    </row>
    <row r="830" spans="1:11" s="77" customFormat="1" ht="18">
      <c r="C830" s="77" t="s">
        <v>4438</v>
      </c>
    </row>
    <row r="831" spans="1:11" ht="18">
      <c r="B831" s="77"/>
      <c r="C831" s="10" t="s">
        <v>25</v>
      </c>
      <c r="D831" s="146" t="s">
        <v>10</v>
      </c>
      <c r="E831" s="146" t="s">
        <v>11</v>
      </c>
      <c r="F831" s="146" t="s">
        <v>12</v>
      </c>
      <c r="G831" s="2" t="s">
        <v>27</v>
      </c>
      <c r="H831" s="2" t="s">
        <v>26</v>
      </c>
      <c r="I831" s="2" t="s">
        <v>28</v>
      </c>
      <c r="J831" s="2" t="s">
        <v>9</v>
      </c>
      <c r="K831" s="64"/>
    </row>
    <row r="832" spans="1:11">
      <c r="A832">
        <v>1</v>
      </c>
      <c r="B832">
        <v>697</v>
      </c>
      <c r="C832" t="s">
        <v>4440</v>
      </c>
      <c r="D832">
        <v>10</v>
      </c>
      <c r="E832" t="s">
        <v>18</v>
      </c>
      <c r="F832">
        <v>2026</v>
      </c>
      <c r="G832" t="s">
        <v>4441</v>
      </c>
      <c r="H832" t="s">
        <v>4442</v>
      </c>
      <c r="I832" t="s">
        <v>4443</v>
      </c>
      <c r="J832" t="s">
        <v>1062</v>
      </c>
    </row>
    <row r="833" spans="1:10">
      <c r="A833">
        <v>2</v>
      </c>
      <c r="B833">
        <v>698</v>
      </c>
      <c r="C833" t="s">
        <v>4444</v>
      </c>
      <c r="D833">
        <v>10</v>
      </c>
      <c r="E833" t="s">
        <v>18</v>
      </c>
      <c r="F833">
        <v>2026</v>
      </c>
      <c r="G833" t="s">
        <v>4445</v>
      </c>
      <c r="H833" t="s">
        <v>4446</v>
      </c>
      <c r="I833" t="s">
        <v>4447</v>
      </c>
      <c r="J833" t="s">
        <v>1062</v>
      </c>
    </row>
    <row r="834" spans="1:10">
      <c r="A834">
        <v>3</v>
      </c>
      <c r="B834">
        <v>699</v>
      </c>
      <c r="C834" t="s">
        <v>4448</v>
      </c>
      <c r="D834">
        <v>10</v>
      </c>
      <c r="E834" t="s">
        <v>18</v>
      </c>
      <c r="F834">
        <v>2026</v>
      </c>
      <c r="G834" t="s">
        <v>4449</v>
      </c>
      <c r="H834" t="s">
        <v>4450</v>
      </c>
      <c r="I834" t="s">
        <v>4451</v>
      </c>
      <c r="J834" t="s">
        <v>1062</v>
      </c>
    </row>
    <row r="835" spans="1:10">
      <c r="A835">
        <v>4</v>
      </c>
      <c r="B835">
        <v>700</v>
      </c>
      <c r="C835" t="s">
        <v>3131</v>
      </c>
      <c r="D835">
        <v>10</v>
      </c>
      <c r="E835" t="s">
        <v>18</v>
      </c>
      <c r="F835">
        <v>2026</v>
      </c>
      <c r="G835" t="s">
        <v>4452</v>
      </c>
      <c r="H835" t="s">
        <v>4453</v>
      </c>
      <c r="I835" t="s">
        <v>4454</v>
      </c>
      <c r="J835" t="s">
        <v>1062</v>
      </c>
    </row>
    <row r="836" spans="1:10">
      <c r="A836">
        <v>5</v>
      </c>
      <c r="B836">
        <v>701</v>
      </c>
      <c r="C836" t="s">
        <v>4455</v>
      </c>
      <c r="D836">
        <v>10</v>
      </c>
      <c r="E836" t="s">
        <v>18</v>
      </c>
      <c r="F836">
        <v>2026</v>
      </c>
      <c r="G836" t="s">
        <v>4456</v>
      </c>
      <c r="H836" t="s">
        <v>4457</v>
      </c>
      <c r="I836" t="s">
        <v>4469</v>
      </c>
      <c r="J836" t="s">
        <v>1062</v>
      </c>
    </row>
    <row r="837" spans="1:10">
      <c r="A837">
        <v>6</v>
      </c>
      <c r="B837">
        <v>702</v>
      </c>
      <c r="C837" t="s">
        <v>4458</v>
      </c>
      <c r="D837">
        <v>10</v>
      </c>
      <c r="E837" t="s">
        <v>18</v>
      </c>
      <c r="F837">
        <v>2026</v>
      </c>
      <c r="G837" t="s">
        <v>4459</v>
      </c>
      <c r="H837" t="s">
        <v>4460</v>
      </c>
      <c r="I837" t="s">
        <v>4470</v>
      </c>
      <c r="J837" t="s">
        <v>1062</v>
      </c>
    </row>
    <row r="838" spans="1:10">
      <c r="A838">
        <v>7</v>
      </c>
      <c r="B838">
        <v>703</v>
      </c>
      <c r="C838" t="s">
        <v>4461</v>
      </c>
      <c r="D838">
        <v>10</v>
      </c>
      <c r="E838" t="s">
        <v>18</v>
      </c>
      <c r="F838">
        <v>2026</v>
      </c>
      <c r="G838" t="s">
        <v>4462</v>
      </c>
      <c r="H838" t="s">
        <v>4463</v>
      </c>
      <c r="I838" t="s">
        <v>4464</v>
      </c>
      <c r="J838" t="s">
        <v>1062</v>
      </c>
    </row>
    <row r="839" spans="1:10">
      <c r="A839">
        <v>8</v>
      </c>
      <c r="B839">
        <v>704</v>
      </c>
      <c r="C839" t="s">
        <v>4465</v>
      </c>
      <c r="D839">
        <v>10</v>
      </c>
      <c r="E839" t="s">
        <v>18</v>
      </c>
      <c r="F839">
        <v>2026</v>
      </c>
      <c r="G839" t="s">
        <v>4466</v>
      </c>
      <c r="H839" t="s">
        <v>4467</v>
      </c>
      <c r="I839" t="s">
        <v>4468</v>
      </c>
      <c r="J839" t="s">
        <v>1062</v>
      </c>
    </row>
  </sheetData>
  <conditionalFormatting sqref="I261">
    <cfRule type="containsText" dxfId="0" priority="1" operator="containsText" text="1">
      <formula>NOT(ISERROR(SEARCH("1",I261)))</formula>
    </cfRule>
  </conditionalFormatting>
  <dataValidations disablePrompts="1" count="2">
    <dataValidation type="list" allowBlank="1" showInputMessage="1" showErrorMessage="1" sqref="E5">
      <formula1>$S$5:$S$17</formula1>
    </dataValidation>
    <dataValidation type="list" allowBlank="1" showInputMessage="1" showErrorMessage="1" sqref="D5">
      <formula1>$R$5:$R$37</formula1>
    </dataValidation>
  </dataValidations>
  <pageMargins left="0.75" right="0.75" top="1" bottom="1" header="0" footer="0"/>
  <pageSetup paperSize="9" scale="8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</sheetPr>
  <dimension ref="A1:X20"/>
  <sheetViews>
    <sheetView zoomScale="85" workbookViewId="0">
      <selection activeCell="A2" sqref="A2"/>
    </sheetView>
  </sheetViews>
  <sheetFormatPr baseColWidth="10" defaultColWidth="12.85546875" defaultRowHeight="15"/>
  <cols>
    <col min="1" max="1" width="7" style="4" customWidth="1"/>
    <col min="2" max="2" width="1.42578125" style="4" customWidth="1"/>
    <col min="3" max="3" width="12.42578125" style="4" customWidth="1"/>
    <col min="4" max="4" width="7.85546875" style="4" customWidth="1"/>
    <col min="5" max="5" width="11" style="4" customWidth="1"/>
    <col min="6" max="6" width="6" style="4" customWidth="1"/>
    <col min="7" max="7" width="8.5703125" style="4" customWidth="1"/>
    <col min="8" max="8" width="6.28515625" style="4" customWidth="1"/>
    <col min="9" max="9" width="5" style="4" customWidth="1"/>
    <col min="10" max="10" width="5.85546875" style="4" customWidth="1"/>
    <col min="11" max="11" width="1.42578125" style="4" customWidth="1"/>
    <col min="12" max="12" width="5.7109375" style="4" customWidth="1"/>
    <col min="13" max="13" width="20.42578125" style="4" customWidth="1"/>
    <col min="14" max="14" width="11" style="4" customWidth="1"/>
    <col min="15" max="15" width="8" style="4" customWidth="1"/>
    <col min="16" max="16" width="8.140625" style="4" customWidth="1"/>
    <col min="17" max="17" width="7.140625" style="4" customWidth="1"/>
    <col min="18" max="18" width="9" style="4" customWidth="1"/>
    <col min="19" max="19" width="9.140625" style="4" customWidth="1"/>
    <col min="20" max="20" width="15" style="4" customWidth="1"/>
    <col min="21" max="21" width="3" style="4" customWidth="1"/>
    <col min="22" max="22" width="16.28515625" style="4" customWidth="1"/>
    <col min="23" max="23" width="25.7109375" style="4" bestFit="1" customWidth="1"/>
    <col min="24" max="16384" width="12.85546875" style="3"/>
  </cols>
  <sheetData>
    <row r="1" spans="1:24">
      <c r="A1" s="16">
        <v>576</v>
      </c>
    </row>
    <row r="2" spans="1:24" ht="12" customHeight="1"/>
    <row r="3" spans="1:24" ht="21.75" customHeight="1"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</row>
    <row r="4" spans="1:24" ht="4.5" customHeight="1">
      <c r="G4" s="8"/>
      <c r="H4" s="8"/>
      <c r="I4" s="8"/>
      <c r="J4" s="8"/>
      <c r="K4" s="8"/>
      <c r="L4" s="8"/>
      <c r="M4" s="8"/>
    </row>
    <row r="5" spans="1:24" s="4" customFormat="1" ht="7.5" customHeight="1">
      <c r="G5" s="8"/>
      <c r="H5" s="8"/>
      <c r="I5" s="8"/>
      <c r="J5" s="8"/>
      <c r="K5" s="8"/>
      <c r="L5" s="8"/>
      <c r="M5" s="8"/>
      <c r="X5" s="3"/>
    </row>
    <row r="6" spans="1:24" s="4" customFormat="1" ht="61.5" customHeight="1">
      <c r="C6" s="152" t="str">
        <f>LOOKUP($A$1,'1ra.COMUNION'!$B$5:C3010)</f>
        <v>MIRANDA SAYURI ARCE LOPEZ</v>
      </c>
      <c r="D6" s="152"/>
      <c r="E6" s="152"/>
      <c r="F6" s="152"/>
      <c r="G6" s="152"/>
      <c r="H6" s="152"/>
      <c r="I6" s="152"/>
      <c r="J6" s="152"/>
      <c r="K6" s="152"/>
      <c r="L6" s="152"/>
      <c r="M6" s="152"/>
      <c r="X6" s="3"/>
    </row>
    <row r="7" spans="1:24" ht="6" customHeight="1"/>
    <row r="8" spans="1:24" s="4" customFormat="1" ht="18.75" customHeight="1">
      <c r="A8" s="15"/>
      <c r="D8" s="15" t="str">
        <f>IF(LOOKUP($A$1,'1ra.COMUNION'!$B$5:D3010)=0," ",LOOKUP($A$1,'1ra.COMUNION'!$B$5:G3010))</f>
        <v>JORGE ROGELIO ARCE DE LA ROSA</v>
      </c>
      <c r="F8" s="15"/>
      <c r="G8" s="15"/>
      <c r="I8" s="60" t="str">
        <f>IF(LOOKUP($A$1,'1ra.COMUNION'!$B$5:H3010)=0," ",LOOKUP($A$1,'1ra.COMUNION'!$B$5:H3010))</f>
        <v>SAYURI GABRIELA LOPEZ DURAN</v>
      </c>
      <c r="L8" s="15"/>
      <c r="N8" s="15"/>
      <c r="O8" s="15"/>
      <c r="P8" s="15"/>
      <c r="Q8" s="15"/>
      <c r="R8" s="15"/>
      <c r="X8" s="3"/>
    </row>
    <row r="9" spans="1:24" s="4" customFormat="1" ht="24.75" customHeight="1">
      <c r="C9" s="14"/>
      <c r="D9" s="14"/>
      <c r="E9" s="14"/>
      <c r="F9" s="14"/>
      <c r="G9" s="95">
        <f>LOOKUP(A1,'1ra.COMUNION'!B5:D3010)</f>
        <v>30</v>
      </c>
      <c r="I9" s="156" t="str">
        <f>LOOKUP(A1,'1ra.COMUNION'!B5:E3010)</f>
        <v>MAYO</v>
      </c>
      <c r="J9" s="156"/>
      <c r="M9" s="59">
        <f>LOOKUP(A1,'1ra.COMUNION'!B5:F3010)</f>
        <v>2026</v>
      </c>
      <c r="X9" s="3"/>
    </row>
    <row r="10" spans="1:24" s="4" customFormat="1" ht="12" customHeight="1"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X10" s="3"/>
    </row>
    <row r="11" spans="1:24" s="4" customFormat="1" ht="13.5" customHeight="1"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X11" s="3"/>
    </row>
    <row r="12" spans="1:24" s="4" customFormat="1" ht="36" customHeight="1">
      <c r="C12" s="155" t="str">
        <f>LOOKUP($A$1,'1ra.COMUNION'!$B$5:I3010)</f>
        <v>ANGELA PADILLA VIRGEN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X12" s="3"/>
    </row>
    <row r="13" spans="1:24" s="4" customFormat="1" ht="24.75" customHeight="1">
      <c r="N13" s="18"/>
      <c r="X13" s="3"/>
    </row>
    <row r="14" spans="1:24" s="4" customFormat="1" ht="19.5" customHeight="1">
      <c r="E14" s="7"/>
      <c r="G14" s="7"/>
      <c r="H14" s="6"/>
      <c r="I14" s="51" t="str">
        <f>LOOKUP($A$1,'1ra.COMUNION'!$B$5:J3010)</f>
        <v>PBRO. GERARDO CAMACHO PONCE</v>
      </c>
      <c r="J14" s="6"/>
      <c r="K14" s="6"/>
      <c r="L14" s="51"/>
      <c r="M14" s="51"/>
      <c r="X14" s="3"/>
    </row>
    <row r="15" spans="1:24" s="4" customFormat="1" ht="22.5" customHeight="1">
      <c r="G15" s="7"/>
      <c r="H15" s="6"/>
      <c r="I15" s="6"/>
      <c r="J15" s="6"/>
      <c r="K15" s="6"/>
      <c r="X15" s="3"/>
    </row>
    <row r="20" spans="3:24" s="4" customFormat="1">
      <c r="C20" s="17" t="s">
        <v>29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X20" s="3"/>
    </row>
  </sheetData>
  <mergeCells count="4">
    <mergeCell ref="C3:M3"/>
    <mergeCell ref="C6:M6"/>
    <mergeCell ref="C12:M12"/>
    <mergeCell ref="I9:J9"/>
  </mergeCells>
  <pageMargins left="0.23622047244094491" right="0.23622047244094491" top="0.98425196850393704" bottom="0.74803149606299213" header="0.15748031496062992" footer="0.31496062992125984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3:T518"/>
  <sheetViews>
    <sheetView tabSelected="1" topLeftCell="A477" workbookViewId="0">
      <selection activeCell="F522" sqref="F522"/>
    </sheetView>
  </sheetViews>
  <sheetFormatPr baseColWidth="10" defaultRowHeight="12.75"/>
  <cols>
    <col min="1" max="1" width="5.28515625" customWidth="1"/>
    <col min="2" max="2" width="51.42578125" customWidth="1"/>
    <col min="3" max="3" width="5.42578125" customWidth="1"/>
    <col min="4" max="4" width="15.7109375" customWidth="1"/>
    <col min="5" max="5" width="8.7109375" customWidth="1"/>
    <col min="6" max="6" width="43.28515625" customWidth="1"/>
    <col min="7" max="7" width="42.140625" customWidth="1"/>
    <col min="8" max="10" width="44.5703125" customWidth="1"/>
    <col min="11" max="11" width="11.42578125" customWidth="1"/>
    <col min="14" max="14" width="21.7109375" customWidth="1"/>
    <col min="18" max="19" width="0" hidden="1" customWidth="1"/>
    <col min="20" max="20" width="13.42578125" hidden="1" customWidth="1"/>
  </cols>
  <sheetData>
    <row r="3" spans="1:13" ht="20.25">
      <c r="B3" s="21" t="s">
        <v>1944</v>
      </c>
    </row>
    <row r="4" spans="1:13" ht="12.75" customHeight="1">
      <c r="B4" s="72" t="s">
        <v>1126</v>
      </c>
    </row>
    <row r="5" spans="1:13">
      <c r="B5" s="24" t="s">
        <v>2018</v>
      </c>
    </row>
    <row r="6" spans="1:13">
      <c r="B6" s="22" t="s">
        <v>31</v>
      </c>
      <c r="C6" s="37" t="s">
        <v>10</v>
      </c>
      <c r="D6" s="37" t="s">
        <v>11</v>
      </c>
      <c r="E6" s="37" t="s">
        <v>12</v>
      </c>
      <c r="F6" s="2" t="s">
        <v>27</v>
      </c>
      <c r="G6" s="2" t="s">
        <v>26</v>
      </c>
      <c r="H6" s="2" t="s">
        <v>28</v>
      </c>
      <c r="I6" s="2" t="s">
        <v>39</v>
      </c>
      <c r="J6" s="2" t="s">
        <v>24</v>
      </c>
      <c r="K6" s="2" t="s">
        <v>0</v>
      </c>
      <c r="L6" s="2" t="s">
        <v>1</v>
      </c>
      <c r="M6" s="2" t="s">
        <v>2</v>
      </c>
    </row>
    <row r="7" spans="1:13">
      <c r="A7">
        <v>1</v>
      </c>
      <c r="B7" t="s">
        <v>855</v>
      </c>
      <c r="C7">
        <v>21</v>
      </c>
      <c r="D7" t="s">
        <v>584</v>
      </c>
      <c r="E7">
        <v>2023</v>
      </c>
      <c r="F7" t="s">
        <v>856</v>
      </c>
      <c r="G7" t="s">
        <v>857</v>
      </c>
      <c r="H7" t="s">
        <v>858</v>
      </c>
      <c r="I7" t="s">
        <v>859</v>
      </c>
      <c r="J7" t="s">
        <v>52</v>
      </c>
      <c r="K7">
        <v>3</v>
      </c>
      <c r="L7">
        <v>9</v>
      </c>
      <c r="M7">
        <v>18</v>
      </c>
    </row>
    <row r="8" spans="1:13">
      <c r="A8">
        <v>2</v>
      </c>
      <c r="B8" t="s">
        <v>860</v>
      </c>
      <c r="C8">
        <v>21</v>
      </c>
      <c r="D8" t="s">
        <v>584</v>
      </c>
      <c r="E8">
        <v>2023</v>
      </c>
      <c r="F8" t="s">
        <v>861</v>
      </c>
      <c r="G8" t="s">
        <v>862</v>
      </c>
      <c r="H8" t="s">
        <v>863</v>
      </c>
      <c r="I8" t="s">
        <v>859</v>
      </c>
      <c r="J8" t="s">
        <v>52</v>
      </c>
      <c r="K8">
        <v>3</v>
      </c>
      <c r="L8">
        <v>10</v>
      </c>
      <c r="M8">
        <v>19</v>
      </c>
    </row>
    <row r="9" spans="1:13">
      <c r="A9">
        <v>3</v>
      </c>
      <c r="B9" t="s">
        <v>864</v>
      </c>
      <c r="C9">
        <v>21</v>
      </c>
      <c r="D9" t="s">
        <v>584</v>
      </c>
      <c r="E9">
        <v>2023</v>
      </c>
      <c r="F9" t="s">
        <v>865</v>
      </c>
      <c r="G9" t="s">
        <v>866</v>
      </c>
      <c r="H9" t="s">
        <v>867</v>
      </c>
      <c r="I9" t="s">
        <v>859</v>
      </c>
      <c r="J9" t="s">
        <v>52</v>
      </c>
      <c r="K9">
        <v>3</v>
      </c>
      <c r="L9">
        <v>10</v>
      </c>
      <c r="M9">
        <v>20</v>
      </c>
    </row>
    <row r="10" spans="1:13">
      <c r="A10">
        <v>4</v>
      </c>
      <c r="B10" t="s">
        <v>868</v>
      </c>
      <c r="C10">
        <v>21</v>
      </c>
      <c r="D10" t="s">
        <v>584</v>
      </c>
      <c r="E10">
        <v>2023</v>
      </c>
      <c r="F10" t="s">
        <v>869</v>
      </c>
      <c r="G10" t="s">
        <v>870</v>
      </c>
      <c r="H10" t="s">
        <v>871</v>
      </c>
      <c r="I10" t="s">
        <v>859</v>
      </c>
      <c r="J10" t="s">
        <v>52</v>
      </c>
      <c r="K10">
        <v>3</v>
      </c>
      <c r="L10">
        <v>11</v>
      </c>
      <c r="M10">
        <v>21</v>
      </c>
    </row>
    <row r="11" spans="1:13">
      <c r="A11">
        <v>5</v>
      </c>
      <c r="B11" t="s">
        <v>872</v>
      </c>
      <c r="C11">
        <v>21</v>
      </c>
      <c r="D11" t="s">
        <v>584</v>
      </c>
      <c r="E11">
        <v>2023</v>
      </c>
      <c r="F11" t="s">
        <v>873</v>
      </c>
      <c r="G11" t="s">
        <v>874</v>
      </c>
      <c r="H11" t="s">
        <v>875</v>
      </c>
      <c r="I11" t="s">
        <v>859</v>
      </c>
      <c r="J11" t="s">
        <v>52</v>
      </c>
      <c r="K11">
        <v>3</v>
      </c>
      <c r="L11">
        <v>11</v>
      </c>
      <c r="M11">
        <v>22</v>
      </c>
    </row>
    <row r="12" spans="1:13">
      <c r="A12">
        <v>6</v>
      </c>
      <c r="B12" t="s">
        <v>876</v>
      </c>
      <c r="C12">
        <v>21</v>
      </c>
      <c r="D12" t="s">
        <v>584</v>
      </c>
      <c r="E12">
        <v>2023</v>
      </c>
      <c r="F12" t="s">
        <v>877</v>
      </c>
      <c r="G12" t="s">
        <v>878</v>
      </c>
      <c r="H12" t="s">
        <v>879</v>
      </c>
      <c r="I12" t="s">
        <v>859</v>
      </c>
      <c r="J12" t="s">
        <v>52</v>
      </c>
      <c r="K12">
        <v>3</v>
      </c>
      <c r="L12">
        <v>12</v>
      </c>
      <c r="M12">
        <v>23</v>
      </c>
    </row>
    <row r="13" spans="1:13">
      <c r="A13">
        <v>7</v>
      </c>
      <c r="B13" t="s">
        <v>880</v>
      </c>
      <c r="C13">
        <v>21</v>
      </c>
      <c r="D13" t="s">
        <v>584</v>
      </c>
      <c r="E13">
        <v>2023</v>
      </c>
      <c r="F13" t="s">
        <v>881</v>
      </c>
      <c r="G13" t="s">
        <v>882</v>
      </c>
      <c r="H13" t="s">
        <v>1121</v>
      </c>
      <c r="I13" t="s">
        <v>859</v>
      </c>
      <c r="J13" t="s">
        <v>52</v>
      </c>
      <c r="K13">
        <v>3</v>
      </c>
      <c r="L13">
        <v>12</v>
      </c>
      <c r="M13">
        <v>24</v>
      </c>
    </row>
    <row r="14" spans="1:13">
      <c r="A14">
        <v>8</v>
      </c>
      <c r="B14" t="s">
        <v>883</v>
      </c>
      <c r="C14">
        <v>21</v>
      </c>
      <c r="D14" t="s">
        <v>584</v>
      </c>
      <c r="E14">
        <v>2023</v>
      </c>
      <c r="F14" t="s">
        <v>884</v>
      </c>
      <c r="G14" t="s">
        <v>885</v>
      </c>
      <c r="H14" t="s">
        <v>886</v>
      </c>
      <c r="I14" t="s">
        <v>859</v>
      </c>
      <c r="J14" t="s">
        <v>52</v>
      </c>
      <c r="K14">
        <v>3</v>
      </c>
      <c r="L14">
        <v>13</v>
      </c>
      <c r="M14">
        <v>25</v>
      </c>
    </row>
    <row r="15" spans="1:13">
      <c r="A15">
        <v>9</v>
      </c>
      <c r="B15" t="s">
        <v>887</v>
      </c>
      <c r="C15">
        <v>21</v>
      </c>
      <c r="D15" t="s">
        <v>584</v>
      </c>
      <c r="E15">
        <v>2023</v>
      </c>
      <c r="F15" t="s">
        <v>634</v>
      </c>
      <c r="G15" t="s">
        <v>635</v>
      </c>
      <c r="H15" t="s">
        <v>888</v>
      </c>
      <c r="I15" t="s">
        <v>859</v>
      </c>
      <c r="J15" t="s">
        <v>52</v>
      </c>
      <c r="K15">
        <v>3</v>
      </c>
      <c r="L15">
        <v>13</v>
      </c>
      <c r="M15">
        <v>26</v>
      </c>
    </row>
    <row r="16" spans="1:13">
      <c r="A16">
        <v>10</v>
      </c>
      <c r="B16" t="s">
        <v>889</v>
      </c>
      <c r="C16">
        <v>21</v>
      </c>
      <c r="D16" t="s">
        <v>584</v>
      </c>
      <c r="E16">
        <v>2023</v>
      </c>
      <c r="F16" t="s">
        <v>890</v>
      </c>
      <c r="G16" t="s">
        <v>891</v>
      </c>
      <c r="H16" t="s">
        <v>892</v>
      </c>
      <c r="I16" t="s">
        <v>859</v>
      </c>
      <c r="J16" t="s">
        <v>52</v>
      </c>
      <c r="K16">
        <v>3</v>
      </c>
      <c r="L16">
        <v>14</v>
      </c>
      <c r="M16">
        <v>27</v>
      </c>
    </row>
    <row r="17" spans="1:13">
      <c r="A17">
        <v>11</v>
      </c>
      <c r="B17" t="s">
        <v>893</v>
      </c>
      <c r="C17">
        <v>21</v>
      </c>
      <c r="D17" t="s">
        <v>584</v>
      </c>
      <c r="E17">
        <v>2023</v>
      </c>
      <c r="F17" t="s">
        <v>894</v>
      </c>
      <c r="G17" t="s">
        <v>895</v>
      </c>
      <c r="H17" s="12" t="s">
        <v>898</v>
      </c>
      <c r="I17" t="s">
        <v>859</v>
      </c>
      <c r="J17" t="s">
        <v>52</v>
      </c>
      <c r="K17">
        <v>3</v>
      </c>
      <c r="L17">
        <v>14</v>
      </c>
      <c r="M17">
        <v>28</v>
      </c>
    </row>
    <row r="18" spans="1:13">
      <c r="A18">
        <v>12</v>
      </c>
      <c r="B18" s="12" t="s">
        <v>896</v>
      </c>
      <c r="C18">
        <v>21</v>
      </c>
      <c r="D18" t="s">
        <v>584</v>
      </c>
      <c r="E18">
        <v>2023</v>
      </c>
      <c r="F18" s="12" t="s">
        <v>871</v>
      </c>
      <c r="G18" s="12" t="s">
        <v>897</v>
      </c>
      <c r="H18" s="12" t="s">
        <v>899</v>
      </c>
      <c r="I18" t="s">
        <v>859</v>
      </c>
      <c r="J18" t="s">
        <v>52</v>
      </c>
      <c r="K18">
        <v>3</v>
      </c>
      <c r="L18">
        <v>15</v>
      </c>
      <c r="M18">
        <v>29</v>
      </c>
    </row>
    <row r="19" spans="1:13">
      <c r="A19">
        <v>13</v>
      </c>
      <c r="B19" s="12" t="s">
        <v>900</v>
      </c>
      <c r="C19">
        <v>21</v>
      </c>
      <c r="D19" t="s">
        <v>584</v>
      </c>
      <c r="E19">
        <v>2023</v>
      </c>
      <c r="F19" s="12" t="s">
        <v>585</v>
      </c>
      <c r="G19" s="12" t="s">
        <v>586</v>
      </c>
      <c r="H19" s="12" t="s">
        <v>882</v>
      </c>
      <c r="I19" t="s">
        <v>859</v>
      </c>
      <c r="J19" t="s">
        <v>52</v>
      </c>
      <c r="K19">
        <v>3</v>
      </c>
      <c r="L19">
        <v>15</v>
      </c>
      <c r="M19">
        <v>30</v>
      </c>
    </row>
    <row r="20" spans="1:13">
      <c r="A20">
        <v>14</v>
      </c>
      <c r="B20" s="12" t="s">
        <v>901</v>
      </c>
      <c r="C20">
        <v>21</v>
      </c>
      <c r="D20" t="s">
        <v>584</v>
      </c>
      <c r="E20">
        <v>2023</v>
      </c>
      <c r="F20" s="12" t="s">
        <v>902</v>
      </c>
      <c r="G20" s="12" t="s">
        <v>903</v>
      </c>
      <c r="H20" s="12" t="s">
        <v>904</v>
      </c>
      <c r="I20" t="s">
        <v>859</v>
      </c>
      <c r="J20" t="s">
        <v>52</v>
      </c>
      <c r="K20">
        <v>3</v>
      </c>
      <c r="L20">
        <v>16</v>
      </c>
      <c r="M20">
        <v>31</v>
      </c>
    </row>
    <row r="21" spans="1:13">
      <c r="A21">
        <v>15</v>
      </c>
      <c r="B21" s="12" t="s">
        <v>905</v>
      </c>
      <c r="C21">
        <v>21</v>
      </c>
      <c r="D21" t="s">
        <v>584</v>
      </c>
      <c r="E21">
        <v>2023</v>
      </c>
      <c r="F21" s="12" t="s">
        <v>906</v>
      </c>
      <c r="G21" s="12" t="s">
        <v>907</v>
      </c>
      <c r="H21" s="12" t="s">
        <v>874</v>
      </c>
      <c r="I21" t="s">
        <v>859</v>
      </c>
      <c r="J21" t="s">
        <v>52</v>
      </c>
      <c r="K21">
        <v>3</v>
      </c>
      <c r="L21">
        <v>16</v>
      </c>
      <c r="M21">
        <v>32</v>
      </c>
    </row>
    <row r="22" spans="1:13">
      <c r="A22">
        <v>16</v>
      </c>
      <c r="B22" s="12" t="s">
        <v>908</v>
      </c>
      <c r="C22">
        <v>21</v>
      </c>
      <c r="D22" t="s">
        <v>584</v>
      </c>
      <c r="E22">
        <v>2023</v>
      </c>
      <c r="F22" s="12" t="s">
        <v>909</v>
      </c>
      <c r="G22" s="12" t="s">
        <v>910</v>
      </c>
      <c r="H22" s="12" t="s">
        <v>911</v>
      </c>
      <c r="I22" t="s">
        <v>859</v>
      </c>
      <c r="J22" t="s">
        <v>52</v>
      </c>
      <c r="K22">
        <v>3</v>
      </c>
      <c r="L22">
        <v>17</v>
      </c>
      <c r="M22">
        <v>33</v>
      </c>
    </row>
    <row r="23" spans="1:13">
      <c r="B23" s="12"/>
      <c r="F23" s="12"/>
      <c r="G23" s="12"/>
      <c r="H23" s="12"/>
    </row>
    <row r="24" spans="1:13">
      <c r="B24" s="12"/>
      <c r="F24" s="12"/>
      <c r="G24" s="12"/>
      <c r="H24" s="12"/>
    </row>
    <row r="25" spans="1:13">
      <c r="B25" s="24" t="s">
        <v>2019</v>
      </c>
    </row>
    <row r="26" spans="1:13">
      <c r="B26" s="22" t="s">
        <v>31</v>
      </c>
      <c r="C26" s="69" t="s">
        <v>10</v>
      </c>
      <c r="D26" s="69" t="s">
        <v>11</v>
      </c>
      <c r="E26" s="69" t="s">
        <v>12</v>
      </c>
      <c r="F26" s="2" t="s">
        <v>27</v>
      </c>
      <c r="G26" s="2" t="s">
        <v>26</v>
      </c>
      <c r="H26" s="2" t="s">
        <v>28</v>
      </c>
      <c r="I26" s="2" t="s">
        <v>39</v>
      </c>
      <c r="J26" s="2" t="s">
        <v>24</v>
      </c>
      <c r="K26" s="2" t="s">
        <v>0</v>
      </c>
      <c r="L26" s="2" t="s">
        <v>1</v>
      </c>
      <c r="M26" s="2" t="s">
        <v>2</v>
      </c>
    </row>
    <row r="27" spans="1:13">
      <c r="A27">
        <v>17</v>
      </c>
      <c r="B27" s="12" t="s">
        <v>917</v>
      </c>
      <c r="C27">
        <v>21</v>
      </c>
      <c r="D27" t="s">
        <v>584</v>
      </c>
      <c r="E27">
        <v>2023</v>
      </c>
      <c r="F27" t="s">
        <v>918</v>
      </c>
      <c r="G27" t="s">
        <v>919</v>
      </c>
      <c r="H27" t="s">
        <v>920</v>
      </c>
      <c r="I27" t="s">
        <v>859</v>
      </c>
      <c r="J27" t="s">
        <v>52</v>
      </c>
      <c r="K27">
        <v>3</v>
      </c>
      <c r="L27">
        <v>17</v>
      </c>
      <c r="M27">
        <v>34</v>
      </c>
    </row>
    <row r="28" spans="1:13">
      <c r="A28">
        <v>18</v>
      </c>
      <c r="B28" s="12" t="s">
        <v>921</v>
      </c>
      <c r="C28">
        <v>21</v>
      </c>
      <c r="D28" t="s">
        <v>584</v>
      </c>
      <c r="E28">
        <v>2023</v>
      </c>
      <c r="F28" t="s">
        <v>922</v>
      </c>
      <c r="G28" t="s">
        <v>923</v>
      </c>
      <c r="H28" t="s">
        <v>1108</v>
      </c>
      <c r="I28" t="s">
        <v>859</v>
      </c>
      <c r="J28" t="s">
        <v>52</v>
      </c>
      <c r="K28">
        <v>3</v>
      </c>
      <c r="L28">
        <v>18</v>
      </c>
      <c r="M28">
        <v>35</v>
      </c>
    </row>
    <row r="29" spans="1:13">
      <c r="A29">
        <v>19</v>
      </c>
      <c r="B29" s="12" t="s">
        <v>924</v>
      </c>
      <c r="C29">
        <v>21</v>
      </c>
      <c r="D29" t="s">
        <v>584</v>
      </c>
      <c r="E29">
        <v>2023</v>
      </c>
      <c r="F29" t="s">
        <v>675</v>
      </c>
      <c r="G29" t="s">
        <v>676</v>
      </c>
      <c r="H29" t="s">
        <v>677</v>
      </c>
      <c r="I29" t="s">
        <v>859</v>
      </c>
      <c r="J29" t="s">
        <v>52</v>
      </c>
      <c r="K29">
        <v>3</v>
      </c>
      <c r="L29">
        <v>18</v>
      </c>
      <c r="M29">
        <v>36</v>
      </c>
    </row>
    <row r="30" spans="1:13">
      <c r="A30">
        <v>20</v>
      </c>
      <c r="B30" s="12" t="s">
        <v>969</v>
      </c>
      <c r="C30">
        <v>21</v>
      </c>
      <c r="D30" t="s">
        <v>584</v>
      </c>
      <c r="E30">
        <v>2023</v>
      </c>
      <c r="F30" t="s">
        <v>925</v>
      </c>
      <c r="G30" t="s">
        <v>926</v>
      </c>
      <c r="H30" s="61" t="s">
        <v>927</v>
      </c>
      <c r="I30" t="s">
        <v>859</v>
      </c>
      <c r="J30" t="s">
        <v>52</v>
      </c>
      <c r="K30">
        <v>3</v>
      </c>
      <c r="L30">
        <v>19</v>
      </c>
      <c r="M30">
        <v>37</v>
      </c>
    </row>
    <row r="31" spans="1:13">
      <c r="A31">
        <v>21</v>
      </c>
      <c r="B31" s="12" t="s">
        <v>928</v>
      </c>
      <c r="C31">
        <v>21</v>
      </c>
      <c r="D31" t="s">
        <v>584</v>
      </c>
      <c r="E31">
        <v>2023</v>
      </c>
      <c r="F31" s="12" t="s">
        <v>929</v>
      </c>
      <c r="G31" s="12" t="s">
        <v>930</v>
      </c>
      <c r="H31" s="12" t="s">
        <v>968</v>
      </c>
      <c r="I31" t="s">
        <v>859</v>
      </c>
      <c r="J31" t="s">
        <v>52</v>
      </c>
      <c r="K31">
        <v>3</v>
      </c>
      <c r="L31">
        <v>19</v>
      </c>
      <c r="M31">
        <v>38</v>
      </c>
    </row>
    <row r="32" spans="1:13">
      <c r="A32">
        <v>22</v>
      </c>
      <c r="B32" s="12" t="s">
        <v>931</v>
      </c>
      <c r="C32">
        <v>21</v>
      </c>
      <c r="D32" t="s">
        <v>584</v>
      </c>
      <c r="E32">
        <v>2023</v>
      </c>
      <c r="F32" s="12" t="s">
        <v>932</v>
      </c>
      <c r="G32" s="12" t="s">
        <v>933</v>
      </c>
      <c r="H32" s="61" t="s">
        <v>934</v>
      </c>
      <c r="I32" t="s">
        <v>859</v>
      </c>
      <c r="J32" t="s">
        <v>52</v>
      </c>
      <c r="K32">
        <v>3</v>
      </c>
      <c r="L32">
        <v>20</v>
      </c>
      <c r="M32">
        <v>39</v>
      </c>
    </row>
    <row r="33" spans="1:13">
      <c r="A33">
        <v>23</v>
      </c>
      <c r="B33" s="12" t="s">
        <v>938</v>
      </c>
      <c r="C33">
        <v>21</v>
      </c>
      <c r="D33" t="s">
        <v>584</v>
      </c>
      <c r="E33">
        <v>2023</v>
      </c>
      <c r="F33" s="12" t="s">
        <v>935</v>
      </c>
      <c r="G33" s="12" t="s">
        <v>936</v>
      </c>
      <c r="H33" s="12" t="s">
        <v>937</v>
      </c>
      <c r="I33" t="s">
        <v>859</v>
      </c>
      <c r="J33" t="s">
        <v>52</v>
      </c>
      <c r="K33">
        <v>3</v>
      </c>
      <c r="L33">
        <v>20</v>
      </c>
      <c r="M33">
        <v>40</v>
      </c>
    </row>
    <row r="34" spans="1:13">
      <c r="A34">
        <v>24</v>
      </c>
      <c r="B34" s="12" t="s">
        <v>939</v>
      </c>
      <c r="C34">
        <v>21</v>
      </c>
      <c r="D34" t="s">
        <v>584</v>
      </c>
      <c r="E34">
        <v>2023</v>
      </c>
      <c r="F34" s="12" t="s">
        <v>940</v>
      </c>
      <c r="G34" s="12" t="s">
        <v>941</v>
      </c>
      <c r="H34" s="12" t="s">
        <v>942</v>
      </c>
      <c r="I34" t="s">
        <v>859</v>
      </c>
      <c r="J34" t="s">
        <v>52</v>
      </c>
      <c r="K34">
        <v>3</v>
      </c>
      <c r="L34">
        <v>21</v>
      </c>
      <c r="M34">
        <v>41</v>
      </c>
    </row>
    <row r="35" spans="1:13">
      <c r="A35">
        <v>25</v>
      </c>
      <c r="B35" s="12" t="s">
        <v>943</v>
      </c>
      <c r="C35">
        <v>21</v>
      </c>
      <c r="D35" t="s">
        <v>584</v>
      </c>
      <c r="E35">
        <v>2023</v>
      </c>
      <c r="F35" s="12" t="s">
        <v>688</v>
      </c>
      <c r="G35" s="12" t="s">
        <v>689</v>
      </c>
      <c r="H35" s="12" t="s">
        <v>690</v>
      </c>
      <c r="I35" t="s">
        <v>859</v>
      </c>
      <c r="J35" t="s">
        <v>52</v>
      </c>
      <c r="K35">
        <v>3</v>
      </c>
      <c r="L35">
        <v>21</v>
      </c>
      <c r="M35">
        <v>42</v>
      </c>
    </row>
    <row r="36" spans="1:13">
      <c r="A36">
        <v>26</v>
      </c>
      <c r="B36" s="12" t="s">
        <v>944</v>
      </c>
      <c r="C36">
        <v>21</v>
      </c>
      <c r="D36" t="s">
        <v>584</v>
      </c>
      <c r="E36">
        <v>2023</v>
      </c>
      <c r="F36" s="12" t="s">
        <v>945</v>
      </c>
      <c r="G36" s="12" t="s">
        <v>946</v>
      </c>
      <c r="H36" s="12" t="s">
        <v>947</v>
      </c>
      <c r="I36" t="s">
        <v>859</v>
      </c>
      <c r="J36" t="s">
        <v>52</v>
      </c>
      <c r="K36">
        <v>3</v>
      </c>
      <c r="L36">
        <v>22</v>
      </c>
      <c r="M36">
        <v>43</v>
      </c>
    </row>
    <row r="37" spans="1:13">
      <c r="A37">
        <v>27</v>
      </c>
      <c r="B37" s="12" t="s">
        <v>948</v>
      </c>
      <c r="C37">
        <v>21</v>
      </c>
      <c r="D37" t="s">
        <v>584</v>
      </c>
      <c r="E37">
        <v>2023</v>
      </c>
      <c r="F37" s="12" t="s">
        <v>949</v>
      </c>
      <c r="G37" s="12" t="s">
        <v>950</v>
      </c>
      <c r="H37" s="12" t="s">
        <v>951</v>
      </c>
      <c r="I37" t="s">
        <v>859</v>
      </c>
      <c r="J37" t="s">
        <v>52</v>
      </c>
      <c r="K37">
        <v>3</v>
      </c>
      <c r="L37">
        <v>22</v>
      </c>
      <c r="M37">
        <v>44</v>
      </c>
    </row>
    <row r="38" spans="1:13">
      <c r="A38">
        <v>28</v>
      </c>
      <c r="B38" s="12" t="s">
        <v>952</v>
      </c>
      <c r="C38">
        <v>21</v>
      </c>
      <c r="D38" t="s">
        <v>584</v>
      </c>
      <c r="E38">
        <v>2023</v>
      </c>
      <c r="F38" s="12" t="s">
        <v>953</v>
      </c>
      <c r="G38" s="12" t="s">
        <v>954</v>
      </c>
      <c r="H38" s="12" t="s">
        <v>955</v>
      </c>
      <c r="I38" t="s">
        <v>859</v>
      </c>
      <c r="J38" t="s">
        <v>52</v>
      </c>
      <c r="K38">
        <v>3</v>
      </c>
      <c r="L38">
        <v>23</v>
      </c>
      <c r="M38">
        <v>45</v>
      </c>
    </row>
    <row r="39" spans="1:13">
      <c r="A39">
        <v>29</v>
      </c>
      <c r="B39" s="12" t="s">
        <v>956</v>
      </c>
      <c r="C39">
        <v>21</v>
      </c>
      <c r="D39" t="s">
        <v>584</v>
      </c>
      <c r="E39">
        <v>2023</v>
      </c>
      <c r="F39" s="12" t="s">
        <v>957</v>
      </c>
      <c r="G39" s="12" t="s">
        <v>958</v>
      </c>
      <c r="H39" s="12" t="s">
        <v>959</v>
      </c>
      <c r="I39" t="s">
        <v>859</v>
      </c>
      <c r="J39" t="s">
        <v>52</v>
      </c>
      <c r="K39">
        <v>3</v>
      </c>
      <c r="L39">
        <v>23</v>
      </c>
      <c r="M39">
        <v>46</v>
      </c>
    </row>
    <row r="40" spans="1:13">
      <c r="A40">
        <v>30</v>
      </c>
      <c r="B40" s="12" t="s">
        <v>960</v>
      </c>
      <c r="C40">
        <v>21</v>
      </c>
      <c r="D40" t="s">
        <v>584</v>
      </c>
      <c r="E40">
        <v>2023</v>
      </c>
      <c r="F40" s="12" t="s">
        <v>961</v>
      </c>
      <c r="G40" s="12" t="s">
        <v>962</v>
      </c>
      <c r="H40" s="12" t="s">
        <v>963</v>
      </c>
      <c r="I40" t="s">
        <v>859</v>
      </c>
      <c r="J40" t="s">
        <v>52</v>
      </c>
      <c r="K40">
        <v>3</v>
      </c>
      <c r="L40">
        <v>24</v>
      </c>
      <c r="M40">
        <v>47</v>
      </c>
    </row>
    <row r="41" spans="1:13">
      <c r="A41">
        <v>31</v>
      </c>
      <c r="B41" s="12" t="s">
        <v>964</v>
      </c>
      <c r="C41">
        <v>21</v>
      </c>
      <c r="D41" t="s">
        <v>584</v>
      </c>
      <c r="E41">
        <v>2023</v>
      </c>
      <c r="F41" s="12" t="s">
        <v>965</v>
      </c>
      <c r="G41" s="12" t="s">
        <v>966</v>
      </c>
      <c r="H41" s="12" t="s">
        <v>967</v>
      </c>
      <c r="I41" t="s">
        <v>859</v>
      </c>
      <c r="J41" t="s">
        <v>52</v>
      </c>
      <c r="K41">
        <v>3</v>
      </c>
      <c r="L41">
        <v>24</v>
      </c>
      <c r="M41">
        <v>48</v>
      </c>
    </row>
    <row r="42" spans="1:13">
      <c r="B42" s="12"/>
      <c r="F42" s="12"/>
      <c r="G42" s="12"/>
      <c r="H42" s="12"/>
    </row>
    <row r="43" spans="1:13">
      <c r="B43" s="24" t="s">
        <v>2020</v>
      </c>
    </row>
    <row r="44" spans="1:13">
      <c r="B44" s="22" t="s">
        <v>31</v>
      </c>
      <c r="C44" s="70" t="s">
        <v>10</v>
      </c>
      <c r="D44" s="70" t="s">
        <v>11</v>
      </c>
      <c r="E44" s="70" t="s">
        <v>12</v>
      </c>
      <c r="F44" s="2" t="s">
        <v>27</v>
      </c>
      <c r="G44" s="2" t="s">
        <v>26</v>
      </c>
      <c r="H44" s="2" t="s">
        <v>28</v>
      </c>
      <c r="I44" s="2" t="s">
        <v>39</v>
      </c>
      <c r="J44" s="2" t="s">
        <v>24</v>
      </c>
      <c r="K44" s="2" t="s">
        <v>0</v>
      </c>
      <c r="L44" s="2" t="s">
        <v>1</v>
      </c>
      <c r="M44" s="2" t="s">
        <v>2</v>
      </c>
    </row>
    <row r="45" spans="1:13">
      <c r="A45">
        <v>32</v>
      </c>
      <c r="B45" s="12" t="s">
        <v>978</v>
      </c>
      <c r="C45">
        <v>21</v>
      </c>
      <c r="D45" t="s">
        <v>584</v>
      </c>
      <c r="E45">
        <v>2023</v>
      </c>
      <c r="F45" t="s">
        <v>979</v>
      </c>
      <c r="G45" t="s">
        <v>756</v>
      </c>
      <c r="H45" t="s">
        <v>980</v>
      </c>
      <c r="I45" t="s">
        <v>859</v>
      </c>
      <c r="J45" t="s">
        <v>52</v>
      </c>
      <c r="K45">
        <v>3</v>
      </c>
      <c r="L45">
        <v>25</v>
      </c>
      <c r="M45">
        <v>49</v>
      </c>
    </row>
    <row r="46" spans="1:13">
      <c r="A46">
        <v>33</v>
      </c>
      <c r="B46" s="12" t="s">
        <v>981</v>
      </c>
      <c r="C46">
        <v>21</v>
      </c>
      <c r="D46" t="s">
        <v>584</v>
      </c>
      <c r="E46">
        <v>2023</v>
      </c>
      <c r="F46" t="s">
        <v>490</v>
      </c>
      <c r="G46" t="s">
        <v>491</v>
      </c>
      <c r="H46" t="s">
        <v>982</v>
      </c>
      <c r="I46" t="s">
        <v>859</v>
      </c>
      <c r="J46" t="s">
        <v>52</v>
      </c>
      <c r="K46">
        <v>3</v>
      </c>
      <c r="L46">
        <v>25</v>
      </c>
      <c r="M46">
        <v>50</v>
      </c>
    </row>
    <row r="47" spans="1:13">
      <c r="A47">
        <v>34</v>
      </c>
      <c r="B47" s="12" t="s">
        <v>983</v>
      </c>
      <c r="C47">
        <v>21</v>
      </c>
      <c r="D47" t="s">
        <v>584</v>
      </c>
      <c r="E47">
        <v>2023</v>
      </c>
      <c r="F47" t="s">
        <v>984</v>
      </c>
      <c r="G47" t="s">
        <v>985</v>
      </c>
      <c r="H47" t="s">
        <v>374</v>
      </c>
      <c r="I47" t="s">
        <v>859</v>
      </c>
      <c r="J47" t="s">
        <v>52</v>
      </c>
      <c r="K47">
        <v>3</v>
      </c>
      <c r="L47">
        <v>26</v>
      </c>
      <c r="M47">
        <v>51</v>
      </c>
    </row>
    <row r="48" spans="1:13">
      <c r="A48">
        <v>35</v>
      </c>
      <c r="B48" s="12" t="s">
        <v>986</v>
      </c>
      <c r="C48">
        <v>21</v>
      </c>
      <c r="D48" t="s">
        <v>584</v>
      </c>
      <c r="E48">
        <v>2023</v>
      </c>
      <c r="F48" t="s">
        <v>422</v>
      </c>
      <c r="G48" t="s">
        <v>423</v>
      </c>
      <c r="H48" t="s">
        <v>987</v>
      </c>
      <c r="I48" t="s">
        <v>859</v>
      </c>
      <c r="J48" t="s">
        <v>52</v>
      </c>
      <c r="K48">
        <v>3</v>
      </c>
      <c r="L48">
        <v>26</v>
      </c>
      <c r="M48">
        <v>52</v>
      </c>
    </row>
    <row r="49" spans="1:13">
      <c r="A49">
        <v>36</v>
      </c>
      <c r="B49" s="12" t="s">
        <v>988</v>
      </c>
      <c r="C49">
        <v>21</v>
      </c>
      <c r="D49" t="s">
        <v>584</v>
      </c>
      <c r="E49">
        <v>2023</v>
      </c>
      <c r="F49" t="s">
        <v>989</v>
      </c>
      <c r="G49" t="s">
        <v>990</v>
      </c>
      <c r="H49" t="s">
        <v>991</v>
      </c>
      <c r="I49" t="s">
        <v>859</v>
      </c>
      <c r="J49" t="s">
        <v>52</v>
      </c>
      <c r="K49">
        <v>3</v>
      </c>
      <c r="L49">
        <v>27</v>
      </c>
      <c r="M49">
        <v>53</v>
      </c>
    </row>
    <row r="50" spans="1:13">
      <c r="A50">
        <v>37</v>
      </c>
      <c r="B50" s="12" t="s">
        <v>992</v>
      </c>
      <c r="C50">
        <v>21</v>
      </c>
      <c r="D50" t="s">
        <v>584</v>
      </c>
      <c r="E50">
        <v>2023</v>
      </c>
      <c r="F50" t="s">
        <v>993</v>
      </c>
      <c r="G50" t="s">
        <v>994</v>
      </c>
      <c r="H50" t="s">
        <v>995</v>
      </c>
      <c r="I50" t="s">
        <v>859</v>
      </c>
      <c r="J50" t="s">
        <v>52</v>
      </c>
      <c r="K50">
        <v>3</v>
      </c>
      <c r="L50">
        <v>27</v>
      </c>
      <c r="M50">
        <v>54</v>
      </c>
    </row>
    <row r="51" spans="1:13">
      <c r="A51">
        <v>38</v>
      </c>
      <c r="B51" s="12" t="s">
        <v>996</v>
      </c>
      <c r="C51">
        <v>21</v>
      </c>
      <c r="D51" t="s">
        <v>584</v>
      </c>
      <c r="E51">
        <v>2023</v>
      </c>
      <c r="F51" t="s">
        <v>997</v>
      </c>
      <c r="G51" t="s">
        <v>998</v>
      </c>
      <c r="H51" t="s">
        <v>999</v>
      </c>
      <c r="I51" t="s">
        <v>859</v>
      </c>
      <c r="J51" t="s">
        <v>52</v>
      </c>
      <c r="K51">
        <v>3</v>
      </c>
      <c r="L51">
        <v>28</v>
      </c>
      <c r="M51">
        <v>55</v>
      </c>
    </row>
    <row r="52" spans="1:13">
      <c r="A52">
        <v>39</v>
      </c>
      <c r="B52" s="12" t="s">
        <v>1002</v>
      </c>
      <c r="C52">
        <v>21</v>
      </c>
      <c r="D52" t="s">
        <v>584</v>
      </c>
      <c r="E52">
        <v>2023</v>
      </c>
      <c r="F52" t="s">
        <v>1000</v>
      </c>
      <c r="G52" t="s">
        <v>1001</v>
      </c>
      <c r="H52" t="s">
        <v>1051</v>
      </c>
      <c r="I52" t="s">
        <v>859</v>
      </c>
      <c r="J52" t="s">
        <v>52</v>
      </c>
      <c r="K52">
        <v>3</v>
      </c>
      <c r="L52">
        <v>28</v>
      </c>
      <c r="M52">
        <v>56</v>
      </c>
    </row>
    <row r="53" spans="1:13">
      <c r="A53">
        <v>40</v>
      </c>
      <c r="B53" s="12" t="s">
        <v>1003</v>
      </c>
      <c r="C53">
        <v>21</v>
      </c>
      <c r="D53" t="s">
        <v>584</v>
      </c>
      <c r="E53">
        <v>2023</v>
      </c>
      <c r="F53" t="s">
        <v>1004</v>
      </c>
      <c r="G53" t="s">
        <v>1005</v>
      </c>
      <c r="H53" t="s">
        <v>1006</v>
      </c>
      <c r="I53" t="s">
        <v>859</v>
      </c>
      <c r="J53" t="s">
        <v>52</v>
      </c>
      <c r="K53">
        <v>3</v>
      </c>
      <c r="L53">
        <v>29</v>
      </c>
      <c r="M53">
        <v>57</v>
      </c>
    </row>
    <row r="54" spans="1:13">
      <c r="A54">
        <v>41</v>
      </c>
      <c r="B54" s="12" t="s">
        <v>1007</v>
      </c>
      <c r="C54">
        <v>21</v>
      </c>
      <c r="D54" t="s">
        <v>584</v>
      </c>
      <c r="E54">
        <v>2023</v>
      </c>
      <c r="F54" t="s">
        <v>1008</v>
      </c>
      <c r="G54" t="s">
        <v>1009</v>
      </c>
      <c r="H54" t="s">
        <v>1010</v>
      </c>
      <c r="I54" t="s">
        <v>859</v>
      </c>
      <c r="J54" t="s">
        <v>52</v>
      </c>
      <c r="K54">
        <v>3</v>
      </c>
      <c r="L54">
        <v>29</v>
      </c>
      <c r="M54">
        <v>58</v>
      </c>
    </row>
    <row r="55" spans="1:13">
      <c r="A55">
        <v>42</v>
      </c>
      <c r="B55" s="12" t="s">
        <v>1011</v>
      </c>
      <c r="C55">
        <v>21</v>
      </c>
      <c r="D55" t="s">
        <v>584</v>
      </c>
      <c r="E55">
        <v>2023</v>
      </c>
      <c r="F55" t="s">
        <v>1012</v>
      </c>
      <c r="G55" t="s">
        <v>1013</v>
      </c>
      <c r="H55" t="s">
        <v>1014</v>
      </c>
      <c r="I55" t="s">
        <v>859</v>
      </c>
      <c r="J55" t="s">
        <v>52</v>
      </c>
      <c r="K55">
        <v>3</v>
      </c>
      <c r="L55">
        <v>30</v>
      </c>
      <c r="M55">
        <v>59</v>
      </c>
    </row>
    <row r="56" spans="1:13">
      <c r="A56">
        <v>43</v>
      </c>
      <c r="B56" s="12" t="s">
        <v>1015</v>
      </c>
      <c r="C56">
        <v>21</v>
      </c>
      <c r="D56" t="s">
        <v>584</v>
      </c>
      <c r="E56">
        <v>2023</v>
      </c>
      <c r="F56" t="s">
        <v>1016</v>
      </c>
      <c r="G56" t="s">
        <v>1017</v>
      </c>
      <c r="H56" t="s">
        <v>1018</v>
      </c>
      <c r="I56" t="s">
        <v>859</v>
      </c>
      <c r="J56" t="s">
        <v>52</v>
      </c>
      <c r="K56">
        <v>3</v>
      </c>
      <c r="L56">
        <v>30</v>
      </c>
      <c r="M56">
        <v>60</v>
      </c>
    </row>
    <row r="57" spans="1:13">
      <c r="A57">
        <v>44</v>
      </c>
      <c r="B57" s="12" t="s">
        <v>1019</v>
      </c>
      <c r="C57">
        <v>21</v>
      </c>
      <c r="D57" t="s">
        <v>584</v>
      </c>
      <c r="E57">
        <v>2023</v>
      </c>
      <c r="F57" t="s">
        <v>1020</v>
      </c>
      <c r="G57" t="s">
        <v>1021</v>
      </c>
      <c r="H57" t="s">
        <v>1005</v>
      </c>
      <c r="I57" t="s">
        <v>859</v>
      </c>
      <c r="J57" t="s">
        <v>52</v>
      </c>
      <c r="K57">
        <v>3</v>
      </c>
      <c r="L57">
        <v>31</v>
      </c>
      <c r="M57">
        <v>61</v>
      </c>
    </row>
    <row r="58" spans="1:13">
      <c r="A58">
        <v>45</v>
      </c>
      <c r="B58" s="12" t="s">
        <v>1052</v>
      </c>
      <c r="C58">
        <v>21</v>
      </c>
      <c r="D58" t="s">
        <v>584</v>
      </c>
      <c r="E58">
        <v>2023</v>
      </c>
      <c r="F58" t="s">
        <v>1022</v>
      </c>
      <c r="G58" t="s">
        <v>1023</v>
      </c>
      <c r="H58" t="s">
        <v>1053</v>
      </c>
      <c r="I58" t="s">
        <v>859</v>
      </c>
      <c r="J58" t="s">
        <v>52</v>
      </c>
      <c r="K58">
        <v>3</v>
      </c>
      <c r="L58">
        <v>31</v>
      </c>
      <c r="M58">
        <v>62</v>
      </c>
    </row>
    <row r="59" spans="1:13">
      <c r="A59">
        <v>46</v>
      </c>
      <c r="B59" s="12" t="s">
        <v>1024</v>
      </c>
      <c r="C59">
        <v>21</v>
      </c>
      <c r="D59" t="s">
        <v>584</v>
      </c>
      <c r="E59">
        <v>2023</v>
      </c>
      <c r="F59" t="s">
        <v>1054</v>
      </c>
      <c r="G59" t="s">
        <v>828</v>
      </c>
      <c r="H59" t="s">
        <v>1025</v>
      </c>
      <c r="I59" t="s">
        <v>859</v>
      </c>
      <c r="J59" t="s">
        <v>52</v>
      </c>
      <c r="K59">
        <v>3</v>
      </c>
      <c r="L59">
        <v>32</v>
      </c>
      <c r="M59">
        <v>63</v>
      </c>
    </row>
    <row r="60" spans="1:13">
      <c r="A60">
        <v>47</v>
      </c>
      <c r="B60" s="12" t="s">
        <v>1026</v>
      </c>
      <c r="C60">
        <v>21</v>
      </c>
      <c r="D60" t="s">
        <v>584</v>
      </c>
      <c r="E60">
        <v>2023</v>
      </c>
      <c r="F60" t="s">
        <v>1028</v>
      </c>
      <c r="G60" t="s">
        <v>1029</v>
      </c>
      <c r="H60" t="s">
        <v>1027</v>
      </c>
      <c r="I60" t="s">
        <v>859</v>
      </c>
      <c r="J60" t="s">
        <v>52</v>
      </c>
      <c r="K60">
        <v>3</v>
      </c>
      <c r="L60">
        <v>32</v>
      </c>
      <c r="M60">
        <v>64</v>
      </c>
    </row>
    <row r="61" spans="1:13">
      <c r="A61">
        <v>48</v>
      </c>
      <c r="B61" s="12" t="s">
        <v>1030</v>
      </c>
      <c r="C61">
        <v>21</v>
      </c>
      <c r="D61" t="s">
        <v>584</v>
      </c>
      <c r="E61">
        <v>2023</v>
      </c>
      <c r="F61" t="s">
        <v>474</v>
      </c>
      <c r="G61" t="s">
        <v>475</v>
      </c>
      <c r="H61" t="s">
        <v>1031</v>
      </c>
      <c r="I61" t="s">
        <v>859</v>
      </c>
      <c r="J61" t="s">
        <v>52</v>
      </c>
      <c r="K61">
        <v>3</v>
      </c>
      <c r="L61">
        <v>33</v>
      </c>
      <c r="M61">
        <v>65</v>
      </c>
    </row>
    <row r="62" spans="1:13">
      <c r="A62">
        <v>49</v>
      </c>
      <c r="B62" s="12" t="s">
        <v>1032</v>
      </c>
      <c r="C62">
        <v>21</v>
      </c>
      <c r="D62" t="s">
        <v>584</v>
      </c>
      <c r="E62">
        <v>2023</v>
      </c>
      <c r="F62" t="s">
        <v>1033</v>
      </c>
      <c r="G62" t="s">
        <v>1034</v>
      </c>
      <c r="H62" t="s">
        <v>1035</v>
      </c>
      <c r="I62" t="s">
        <v>859</v>
      </c>
      <c r="J62" t="s">
        <v>52</v>
      </c>
      <c r="K62">
        <v>3</v>
      </c>
      <c r="L62">
        <v>33</v>
      </c>
      <c r="M62">
        <v>66</v>
      </c>
    </row>
    <row r="63" spans="1:13">
      <c r="A63">
        <v>50</v>
      </c>
      <c r="B63" s="12" t="s">
        <v>1036</v>
      </c>
      <c r="C63">
        <v>21</v>
      </c>
      <c r="D63" t="s">
        <v>584</v>
      </c>
      <c r="E63">
        <v>2023</v>
      </c>
      <c r="F63" t="s">
        <v>1037</v>
      </c>
      <c r="G63" t="s">
        <v>1038</v>
      </c>
      <c r="H63" t="s">
        <v>1039</v>
      </c>
      <c r="I63" t="s">
        <v>859</v>
      </c>
      <c r="J63" t="s">
        <v>52</v>
      </c>
      <c r="K63">
        <v>3</v>
      </c>
      <c r="L63">
        <v>34</v>
      </c>
      <c r="M63">
        <v>67</v>
      </c>
    </row>
    <row r="64" spans="1:13">
      <c r="A64">
        <v>51</v>
      </c>
      <c r="B64" s="12" t="s">
        <v>1040</v>
      </c>
      <c r="C64">
        <v>21</v>
      </c>
      <c r="D64" t="s">
        <v>584</v>
      </c>
      <c r="E64">
        <v>2023</v>
      </c>
      <c r="F64" t="s">
        <v>1041</v>
      </c>
      <c r="G64" t="s">
        <v>1042</v>
      </c>
      <c r="H64" t="s">
        <v>1043</v>
      </c>
      <c r="I64" t="s">
        <v>859</v>
      </c>
      <c r="J64" t="s">
        <v>52</v>
      </c>
      <c r="K64">
        <v>3</v>
      </c>
      <c r="L64">
        <v>34</v>
      </c>
      <c r="M64">
        <v>68</v>
      </c>
    </row>
    <row r="65" spans="1:13">
      <c r="A65">
        <v>52</v>
      </c>
      <c r="B65" s="12" t="s">
        <v>1044</v>
      </c>
      <c r="C65">
        <v>21</v>
      </c>
      <c r="D65" t="s">
        <v>584</v>
      </c>
      <c r="E65">
        <v>2023</v>
      </c>
      <c r="G65" t="s">
        <v>1045</v>
      </c>
      <c r="H65" t="s">
        <v>1046</v>
      </c>
      <c r="I65" t="s">
        <v>859</v>
      </c>
      <c r="J65" t="s">
        <v>52</v>
      </c>
      <c r="K65">
        <v>3</v>
      </c>
      <c r="L65">
        <v>35</v>
      </c>
      <c r="M65">
        <v>69</v>
      </c>
    </row>
    <row r="66" spans="1:13">
      <c r="A66">
        <v>53</v>
      </c>
      <c r="B66" s="12" t="s">
        <v>1047</v>
      </c>
      <c r="C66">
        <v>21</v>
      </c>
      <c r="D66" t="s">
        <v>584</v>
      </c>
      <c r="E66">
        <v>2023</v>
      </c>
      <c r="F66" t="s">
        <v>1048</v>
      </c>
      <c r="G66" t="s">
        <v>1049</v>
      </c>
      <c r="H66" t="s">
        <v>1055</v>
      </c>
      <c r="I66" t="s">
        <v>859</v>
      </c>
      <c r="J66" t="s">
        <v>52</v>
      </c>
      <c r="K66">
        <v>3</v>
      </c>
      <c r="L66">
        <v>35</v>
      </c>
      <c r="M66">
        <v>70</v>
      </c>
    </row>
    <row r="67" spans="1:13">
      <c r="A67">
        <v>54</v>
      </c>
      <c r="B67" s="12" t="s">
        <v>1136</v>
      </c>
      <c r="C67">
        <v>21</v>
      </c>
      <c r="D67" t="s">
        <v>584</v>
      </c>
      <c r="E67">
        <v>2023</v>
      </c>
      <c r="F67" t="s">
        <v>1000</v>
      </c>
      <c r="G67" t="s">
        <v>1001</v>
      </c>
      <c r="H67" t="s">
        <v>1050</v>
      </c>
      <c r="I67" t="s">
        <v>859</v>
      </c>
      <c r="J67" t="s">
        <v>52</v>
      </c>
      <c r="K67">
        <v>3</v>
      </c>
      <c r="L67">
        <v>36</v>
      </c>
      <c r="M67">
        <v>71</v>
      </c>
    </row>
    <row r="69" spans="1:13">
      <c r="B69" s="24" t="s">
        <v>2021</v>
      </c>
    </row>
    <row r="70" spans="1:13">
      <c r="B70" s="22" t="s">
        <v>31</v>
      </c>
      <c r="C70" s="71" t="s">
        <v>10</v>
      </c>
      <c r="D70" s="71" t="s">
        <v>11</v>
      </c>
      <c r="E70" s="71" t="s">
        <v>12</v>
      </c>
      <c r="F70" s="2" t="s">
        <v>27</v>
      </c>
      <c r="G70" s="2" t="s">
        <v>26</v>
      </c>
      <c r="H70" s="2" t="s">
        <v>28</v>
      </c>
      <c r="I70" s="2" t="s">
        <v>39</v>
      </c>
      <c r="J70" s="2" t="s">
        <v>24</v>
      </c>
      <c r="K70" s="2" t="s">
        <v>0</v>
      </c>
      <c r="L70" s="2" t="s">
        <v>1</v>
      </c>
      <c r="M70" s="2" t="s">
        <v>2</v>
      </c>
    </row>
    <row r="71" spans="1:13">
      <c r="A71">
        <v>55</v>
      </c>
      <c r="B71" t="s">
        <v>1064</v>
      </c>
      <c r="C71">
        <v>21</v>
      </c>
      <c r="D71" t="s">
        <v>584</v>
      </c>
      <c r="E71">
        <v>2023</v>
      </c>
      <c r="F71" t="s">
        <v>318</v>
      </c>
      <c r="G71" t="s">
        <v>1065</v>
      </c>
      <c r="H71" t="s">
        <v>1066</v>
      </c>
      <c r="I71" t="s">
        <v>859</v>
      </c>
      <c r="J71" t="s">
        <v>52</v>
      </c>
      <c r="K71">
        <v>3</v>
      </c>
      <c r="L71">
        <v>36</v>
      </c>
      <c r="M71">
        <v>72</v>
      </c>
    </row>
    <row r="72" spans="1:13">
      <c r="A72">
        <v>56</v>
      </c>
      <c r="B72" t="s">
        <v>1067</v>
      </c>
      <c r="C72">
        <v>21</v>
      </c>
      <c r="D72" t="s">
        <v>584</v>
      </c>
      <c r="E72">
        <v>2023</v>
      </c>
      <c r="F72" t="s">
        <v>1068</v>
      </c>
      <c r="G72" t="s">
        <v>1069</v>
      </c>
      <c r="H72" t="s">
        <v>1070</v>
      </c>
      <c r="I72" t="s">
        <v>859</v>
      </c>
      <c r="J72" t="s">
        <v>52</v>
      </c>
      <c r="K72">
        <v>3</v>
      </c>
      <c r="L72">
        <v>37</v>
      </c>
      <c r="M72">
        <v>73</v>
      </c>
    </row>
    <row r="73" spans="1:13">
      <c r="A73">
        <v>57</v>
      </c>
      <c r="B73" t="s">
        <v>1071</v>
      </c>
      <c r="C73">
        <v>21</v>
      </c>
      <c r="D73" t="s">
        <v>584</v>
      </c>
      <c r="E73">
        <v>2023</v>
      </c>
      <c r="G73" t="s">
        <v>281</v>
      </c>
      <c r="H73" t="s">
        <v>244</v>
      </c>
      <c r="I73" t="s">
        <v>859</v>
      </c>
      <c r="J73" t="s">
        <v>52</v>
      </c>
      <c r="K73">
        <v>3</v>
      </c>
      <c r="L73">
        <v>37</v>
      </c>
      <c r="M73">
        <v>74</v>
      </c>
    </row>
    <row r="74" spans="1:13">
      <c r="A74">
        <v>58</v>
      </c>
      <c r="B74" t="s">
        <v>1072</v>
      </c>
      <c r="C74">
        <v>21</v>
      </c>
      <c r="D74" t="s">
        <v>584</v>
      </c>
      <c r="E74">
        <v>2023</v>
      </c>
      <c r="F74" t="s">
        <v>1073</v>
      </c>
      <c r="G74" t="s">
        <v>1074</v>
      </c>
      <c r="H74" t="s">
        <v>1080</v>
      </c>
      <c r="I74" t="s">
        <v>859</v>
      </c>
      <c r="J74" t="s">
        <v>52</v>
      </c>
      <c r="K74">
        <v>3</v>
      </c>
      <c r="L74">
        <v>38</v>
      </c>
      <c r="M74">
        <v>75</v>
      </c>
    </row>
    <row r="75" spans="1:13">
      <c r="A75">
        <v>59</v>
      </c>
      <c r="B75" t="s">
        <v>1076</v>
      </c>
      <c r="C75">
        <v>21</v>
      </c>
      <c r="D75" t="s">
        <v>584</v>
      </c>
      <c r="E75">
        <v>2023</v>
      </c>
      <c r="F75" t="s">
        <v>248</v>
      </c>
      <c r="G75" t="s">
        <v>1077</v>
      </c>
      <c r="H75" t="s">
        <v>1075</v>
      </c>
      <c r="I75" t="s">
        <v>859</v>
      </c>
      <c r="J75" t="s">
        <v>52</v>
      </c>
      <c r="K75">
        <v>3</v>
      </c>
      <c r="L75">
        <v>38</v>
      </c>
      <c r="M75">
        <v>76</v>
      </c>
    </row>
    <row r="76" spans="1:13">
      <c r="A76">
        <v>60</v>
      </c>
      <c r="B76" t="s">
        <v>1079</v>
      </c>
      <c r="C76">
        <v>21</v>
      </c>
      <c r="D76" t="s">
        <v>584</v>
      </c>
      <c r="E76">
        <v>2023</v>
      </c>
      <c r="F76" t="s">
        <v>1073</v>
      </c>
      <c r="G76" t="s">
        <v>1074</v>
      </c>
      <c r="H76" t="s">
        <v>1078</v>
      </c>
      <c r="I76" t="s">
        <v>859</v>
      </c>
      <c r="J76" t="s">
        <v>52</v>
      </c>
      <c r="K76">
        <v>3</v>
      </c>
      <c r="L76">
        <v>39</v>
      </c>
      <c r="M76">
        <v>77</v>
      </c>
    </row>
    <row r="77" spans="1:13">
      <c r="A77">
        <v>61</v>
      </c>
      <c r="B77" t="s">
        <v>1081</v>
      </c>
      <c r="C77">
        <v>21</v>
      </c>
      <c r="D77" t="s">
        <v>584</v>
      </c>
      <c r="E77">
        <v>2023</v>
      </c>
      <c r="F77" t="s">
        <v>1082</v>
      </c>
      <c r="G77" t="s">
        <v>1083</v>
      </c>
      <c r="H77" t="s">
        <v>1084</v>
      </c>
      <c r="I77" t="s">
        <v>859</v>
      </c>
      <c r="J77" t="s">
        <v>52</v>
      </c>
      <c r="K77">
        <v>3</v>
      </c>
      <c r="L77">
        <v>39</v>
      </c>
      <c r="M77">
        <v>78</v>
      </c>
    </row>
    <row r="78" spans="1:13">
      <c r="A78">
        <v>62</v>
      </c>
      <c r="B78" t="s">
        <v>1085</v>
      </c>
      <c r="C78">
        <v>21</v>
      </c>
      <c r="D78" t="s">
        <v>584</v>
      </c>
      <c r="E78">
        <v>2023</v>
      </c>
      <c r="F78" t="s">
        <v>318</v>
      </c>
      <c r="G78" t="s">
        <v>1065</v>
      </c>
      <c r="H78" t="s">
        <v>1086</v>
      </c>
      <c r="I78" t="s">
        <v>859</v>
      </c>
      <c r="J78" t="s">
        <v>52</v>
      </c>
      <c r="K78">
        <v>3</v>
      </c>
      <c r="L78">
        <v>40</v>
      </c>
      <c r="M78">
        <v>79</v>
      </c>
    </row>
    <row r="79" spans="1:13">
      <c r="A79">
        <v>63</v>
      </c>
      <c r="B79" t="s">
        <v>1087</v>
      </c>
      <c r="C79">
        <v>21</v>
      </c>
      <c r="D79" t="s">
        <v>584</v>
      </c>
      <c r="E79">
        <v>2023</v>
      </c>
      <c r="F79" t="s">
        <v>1088</v>
      </c>
      <c r="G79" t="s">
        <v>1089</v>
      </c>
      <c r="H79" t="s">
        <v>1090</v>
      </c>
      <c r="I79" t="s">
        <v>859</v>
      </c>
      <c r="J79" t="s">
        <v>52</v>
      </c>
      <c r="K79">
        <v>3</v>
      </c>
      <c r="L79">
        <v>40</v>
      </c>
      <c r="M79">
        <v>80</v>
      </c>
    </row>
    <row r="80" spans="1:13">
      <c r="A80">
        <v>64</v>
      </c>
      <c r="B80" t="s">
        <v>1091</v>
      </c>
      <c r="C80">
        <v>21</v>
      </c>
      <c r="D80" t="s">
        <v>584</v>
      </c>
      <c r="E80">
        <v>2023</v>
      </c>
      <c r="G80" t="s">
        <v>1092</v>
      </c>
      <c r="H80" t="s">
        <v>1093</v>
      </c>
      <c r="I80" t="s">
        <v>859</v>
      </c>
      <c r="J80" t="s">
        <v>52</v>
      </c>
      <c r="K80">
        <v>3</v>
      </c>
      <c r="L80">
        <v>41</v>
      </c>
      <c r="M80">
        <v>81</v>
      </c>
    </row>
    <row r="81" spans="1:13">
      <c r="A81">
        <v>65</v>
      </c>
      <c r="B81" t="s">
        <v>1094</v>
      </c>
      <c r="C81">
        <v>21</v>
      </c>
      <c r="D81" t="s">
        <v>584</v>
      </c>
      <c r="E81">
        <v>2023</v>
      </c>
      <c r="F81" t="s">
        <v>1068</v>
      </c>
      <c r="G81" t="s">
        <v>1069</v>
      </c>
      <c r="H81" t="s">
        <v>1095</v>
      </c>
      <c r="I81" t="s">
        <v>859</v>
      </c>
      <c r="J81" t="s">
        <v>52</v>
      </c>
      <c r="K81">
        <v>3</v>
      </c>
      <c r="L81">
        <v>41</v>
      </c>
      <c r="M81">
        <v>82</v>
      </c>
    </row>
    <row r="84" spans="1:13" ht="20.25">
      <c r="B84" s="21" t="s">
        <v>1945</v>
      </c>
    </row>
    <row r="85" spans="1:13" ht="12.75" customHeight="1">
      <c r="B85" s="72" t="s">
        <v>1126</v>
      </c>
    </row>
    <row r="86" spans="1:13">
      <c r="B86" s="24" t="s">
        <v>2274</v>
      </c>
    </row>
    <row r="87" spans="1:13">
      <c r="B87" s="22" t="s">
        <v>31</v>
      </c>
      <c r="C87" s="103" t="s">
        <v>10</v>
      </c>
      <c r="D87" s="103" t="s">
        <v>11</v>
      </c>
      <c r="E87" s="103" t="s">
        <v>12</v>
      </c>
      <c r="F87" s="2" t="s">
        <v>27</v>
      </c>
      <c r="G87" s="2" t="s">
        <v>26</v>
      </c>
      <c r="H87" s="2" t="s">
        <v>28</v>
      </c>
      <c r="I87" s="2" t="s">
        <v>39</v>
      </c>
      <c r="J87" s="2" t="s">
        <v>24</v>
      </c>
      <c r="K87" s="2" t="s">
        <v>0</v>
      </c>
      <c r="L87" s="2" t="s">
        <v>1</v>
      </c>
      <c r="M87" s="2" t="s">
        <v>2</v>
      </c>
    </row>
    <row r="88" spans="1:13">
      <c r="A88">
        <v>66</v>
      </c>
      <c r="B88" s="105" t="s">
        <v>1946</v>
      </c>
      <c r="C88">
        <v>19</v>
      </c>
      <c r="D88" s="12" t="s">
        <v>18</v>
      </c>
      <c r="E88">
        <v>2024</v>
      </c>
      <c r="F88" s="12" t="s">
        <v>1965</v>
      </c>
      <c r="G88" s="12" t="s">
        <v>1966</v>
      </c>
      <c r="H88" s="12" t="s">
        <v>1967</v>
      </c>
      <c r="I88" s="12" t="s">
        <v>2065</v>
      </c>
      <c r="J88" t="s">
        <v>52</v>
      </c>
      <c r="K88">
        <v>3</v>
      </c>
      <c r="L88">
        <v>42</v>
      </c>
      <c r="M88">
        <v>83</v>
      </c>
    </row>
    <row r="89" spans="1:13">
      <c r="A89">
        <v>67</v>
      </c>
      <c r="B89" s="106" t="s">
        <v>1947</v>
      </c>
      <c r="C89">
        <v>19</v>
      </c>
      <c r="D89" s="12" t="s">
        <v>18</v>
      </c>
      <c r="E89">
        <v>2024</v>
      </c>
      <c r="F89" s="12" t="s">
        <v>1968</v>
      </c>
      <c r="G89" s="12" t="s">
        <v>1969</v>
      </c>
      <c r="H89" s="12" t="s">
        <v>1970</v>
      </c>
      <c r="I89" s="12" t="s">
        <v>2065</v>
      </c>
      <c r="J89" t="s">
        <v>52</v>
      </c>
      <c r="K89">
        <v>3</v>
      </c>
      <c r="L89">
        <v>42</v>
      </c>
      <c r="M89">
        <v>84</v>
      </c>
    </row>
    <row r="90" spans="1:13">
      <c r="A90">
        <v>68</v>
      </c>
      <c r="B90" s="105" t="s">
        <v>973</v>
      </c>
      <c r="C90">
        <v>19</v>
      </c>
      <c r="D90" s="12" t="s">
        <v>18</v>
      </c>
      <c r="E90">
        <v>2024</v>
      </c>
      <c r="G90" s="12" t="s">
        <v>1581</v>
      </c>
      <c r="H90" s="12" t="s">
        <v>1971</v>
      </c>
      <c r="I90" s="12" t="s">
        <v>2065</v>
      </c>
      <c r="J90" t="s">
        <v>52</v>
      </c>
      <c r="K90">
        <v>3</v>
      </c>
      <c r="L90">
        <v>43</v>
      </c>
      <c r="M90">
        <v>85</v>
      </c>
    </row>
    <row r="91" spans="1:13">
      <c r="A91">
        <v>69</v>
      </c>
      <c r="B91" s="106" t="s">
        <v>1948</v>
      </c>
      <c r="C91">
        <v>19</v>
      </c>
      <c r="D91" s="12" t="s">
        <v>18</v>
      </c>
      <c r="E91">
        <v>2024</v>
      </c>
      <c r="F91" s="12" t="s">
        <v>1972</v>
      </c>
      <c r="G91" s="12" t="s">
        <v>1207</v>
      </c>
      <c r="H91" s="12" t="s">
        <v>1973</v>
      </c>
      <c r="I91" s="12" t="s">
        <v>2065</v>
      </c>
      <c r="J91" t="s">
        <v>52</v>
      </c>
      <c r="K91">
        <v>3</v>
      </c>
      <c r="L91">
        <v>43</v>
      </c>
      <c r="M91">
        <v>86</v>
      </c>
    </row>
    <row r="92" spans="1:13">
      <c r="A92">
        <v>70</v>
      </c>
      <c r="B92" s="106" t="s">
        <v>2067</v>
      </c>
      <c r="C92">
        <v>19</v>
      </c>
      <c r="D92" s="12" t="s">
        <v>18</v>
      </c>
      <c r="E92">
        <v>2024</v>
      </c>
      <c r="F92" s="12" t="s">
        <v>1610</v>
      </c>
      <c r="G92" s="12" t="s">
        <v>1611</v>
      </c>
      <c r="H92" s="12" t="s">
        <v>1974</v>
      </c>
      <c r="I92" s="12" t="s">
        <v>2065</v>
      </c>
      <c r="J92" t="s">
        <v>52</v>
      </c>
      <c r="K92">
        <v>3</v>
      </c>
      <c r="L92">
        <v>44</v>
      </c>
      <c r="M92">
        <v>87</v>
      </c>
    </row>
    <row r="93" spans="1:13">
      <c r="A93">
        <v>71</v>
      </c>
      <c r="B93" s="106" t="s">
        <v>1949</v>
      </c>
      <c r="C93">
        <v>19</v>
      </c>
      <c r="D93" s="12" t="s">
        <v>18</v>
      </c>
      <c r="E93">
        <v>2024</v>
      </c>
      <c r="F93" s="12" t="s">
        <v>1975</v>
      </c>
      <c r="G93" s="12" t="s">
        <v>2066</v>
      </c>
      <c r="H93" s="12" t="s">
        <v>1976</v>
      </c>
      <c r="I93" s="12" t="s">
        <v>2065</v>
      </c>
      <c r="J93" t="s">
        <v>52</v>
      </c>
      <c r="K93">
        <v>3</v>
      </c>
      <c r="L93">
        <v>44</v>
      </c>
      <c r="M93">
        <v>88</v>
      </c>
    </row>
    <row r="94" spans="1:13">
      <c r="A94">
        <v>72</v>
      </c>
      <c r="B94" s="106" t="s">
        <v>1977</v>
      </c>
      <c r="C94">
        <v>19</v>
      </c>
      <c r="D94" s="12" t="s">
        <v>18</v>
      </c>
      <c r="E94">
        <v>2024</v>
      </c>
      <c r="F94" s="12" t="s">
        <v>1586</v>
      </c>
      <c r="G94" s="12" t="s">
        <v>1587</v>
      </c>
      <c r="H94" s="12" t="s">
        <v>1619</v>
      </c>
      <c r="I94" s="12" t="s">
        <v>2065</v>
      </c>
      <c r="J94" t="s">
        <v>52</v>
      </c>
      <c r="K94">
        <v>3</v>
      </c>
      <c r="L94">
        <v>45</v>
      </c>
      <c r="M94">
        <v>89</v>
      </c>
    </row>
    <row r="95" spans="1:13">
      <c r="A95">
        <v>73</v>
      </c>
      <c r="B95" s="106" t="s">
        <v>1950</v>
      </c>
      <c r="C95">
        <v>19</v>
      </c>
      <c r="D95" s="12" t="s">
        <v>18</v>
      </c>
      <c r="E95">
        <v>2024</v>
      </c>
      <c r="G95" s="12" t="s">
        <v>1978</v>
      </c>
      <c r="H95" s="12" t="s">
        <v>1979</v>
      </c>
      <c r="I95" s="12" t="s">
        <v>2065</v>
      </c>
      <c r="J95" t="s">
        <v>52</v>
      </c>
      <c r="K95">
        <v>3</v>
      </c>
      <c r="L95">
        <v>45</v>
      </c>
      <c r="M95">
        <v>90</v>
      </c>
    </row>
    <row r="96" spans="1:13">
      <c r="A96">
        <v>74</v>
      </c>
      <c r="B96" s="105" t="s">
        <v>1951</v>
      </c>
      <c r="C96">
        <v>19</v>
      </c>
      <c r="D96" s="12" t="s">
        <v>18</v>
      </c>
      <c r="E96">
        <v>2024</v>
      </c>
      <c r="F96" t="s">
        <v>1980</v>
      </c>
      <c r="G96" s="12" t="s">
        <v>1981</v>
      </c>
      <c r="H96" s="12" t="s">
        <v>1982</v>
      </c>
      <c r="I96" s="12" t="s">
        <v>2065</v>
      </c>
      <c r="J96" t="s">
        <v>52</v>
      </c>
      <c r="K96">
        <v>3</v>
      </c>
      <c r="L96">
        <v>46</v>
      </c>
      <c r="M96">
        <v>91</v>
      </c>
    </row>
    <row r="97" spans="1:13">
      <c r="A97">
        <v>75</v>
      </c>
      <c r="B97" s="106" t="s">
        <v>1952</v>
      </c>
      <c r="C97">
        <v>19</v>
      </c>
      <c r="D97" s="12" t="s">
        <v>18</v>
      </c>
      <c r="E97">
        <v>2024</v>
      </c>
      <c r="F97" t="s">
        <v>1983</v>
      </c>
      <c r="G97" s="12" t="s">
        <v>1984</v>
      </c>
      <c r="H97" s="12" t="s">
        <v>1985</v>
      </c>
      <c r="I97" s="12" t="s">
        <v>2065</v>
      </c>
      <c r="J97" t="s">
        <v>52</v>
      </c>
      <c r="K97">
        <v>3</v>
      </c>
      <c r="L97">
        <v>46</v>
      </c>
      <c r="M97">
        <v>92</v>
      </c>
    </row>
    <row r="98" spans="1:13">
      <c r="A98">
        <v>76</v>
      </c>
      <c r="B98" s="106" t="s">
        <v>1953</v>
      </c>
      <c r="C98">
        <v>19</v>
      </c>
      <c r="D98" s="12" t="s">
        <v>18</v>
      </c>
      <c r="E98">
        <v>2024</v>
      </c>
      <c r="F98" t="s">
        <v>1986</v>
      </c>
      <c r="G98" s="12" t="s">
        <v>2277</v>
      </c>
      <c r="H98" s="12" t="s">
        <v>1987</v>
      </c>
      <c r="I98" s="12" t="s">
        <v>2065</v>
      </c>
      <c r="J98" t="s">
        <v>52</v>
      </c>
      <c r="K98">
        <v>3</v>
      </c>
      <c r="L98">
        <v>47</v>
      </c>
      <c r="M98">
        <v>93</v>
      </c>
    </row>
    <row r="99" spans="1:13">
      <c r="A99">
        <v>77</v>
      </c>
      <c r="B99" s="105" t="s">
        <v>1954</v>
      </c>
      <c r="C99">
        <v>19</v>
      </c>
      <c r="D99" s="12" t="s">
        <v>18</v>
      </c>
      <c r="E99">
        <v>2024</v>
      </c>
      <c r="F99" t="s">
        <v>1405</v>
      </c>
      <c r="G99" s="12" t="s">
        <v>1988</v>
      </c>
      <c r="H99" s="12" t="s">
        <v>1989</v>
      </c>
      <c r="I99" s="12" t="s">
        <v>2065</v>
      </c>
      <c r="J99" t="s">
        <v>52</v>
      </c>
      <c r="K99">
        <v>3</v>
      </c>
      <c r="L99">
        <v>47</v>
      </c>
      <c r="M99">
        <v>94</v>
      </c>
    </row>
    <row r="100" spans="1:13">
      <c r="A100">
        <v>78</v>
      </c>
      <c r="B100" s="106" t="s">
        <v>1955</v>
      </c>
      <c r="C100">
        <v>19</v>
      </c>
      <c r="D100" s="12" t="s">
        <v>18</v>
      </c>
      <c r="E100">
        <v>2024</v>
      </c>
      <c r="F100" t="s">
        <v>1990</v>
      </c>
      <c r="G100" s="12" t="s">
        <v>1991</v>
      </c>
      <c r="H100" s="12" t="s">
        <v>1992</v>
      </c>
      <c r="I100" s="12" t="s">
        <v>2065</v>
      </c>
      <c r="J100" t="s">
        <v>52</v>
      </c>
      <c r="K100">
        <v>3</v>
      </c>
      <c r="L100">
        <v>48</v>
      </c>
      <c r="M100">
        <v>95</v>
      </c>
    </row>
    <row r="101" spans="1:13">
      <c r="A101">
        <v>79</v>
      </c>
      <c r="B101" s="105" t="s">
        <v>1993</v>
      </c>
      <c r="C101">
        <v>19</v>
      </c>
      <c r="D101" s="12" t="s">
        <v>18</v>
      </c>
      <c r="E101">
        <v>2024</v>
      </c>
      <c r="F101" t="s">
        <v>1994</v>
      </c>
      <c r="G101" s="12" t="s">
        <v>1995</v>
      </c>
      <c r="H101" s="12" t="s">
        <v>1996</v>
      </c>
      <c r="I101" s="12" t="s">
        <v>2065</v>
      </c>
      <c r="J101" t="s">
        <v>52</v>
      </c>
      <c r="K101">
        <v>3</v>
      </c>
      <c r="L101">
        <v>48</v>
      </c>
      <c r="M101">
        <v>96</v>
      </c>
    </row>
    <row r="102" spans="1:13">
      <c r="A102">
        <v>80</v>
      </c>
      <c r="B102" s="106" t="s">
        <v>1956</v>
      </c>
      <c r="C102">
        <v>19</v>
      </c>
      <c r="D102" s="12" t="s">
        <v>18</v>
      </c>
      <c r="E102">
        <v>2024</v>
      </c>
      <c r="F102" t="s">
        <v>1997</v>
      </c>
      <c r="G102" s="12" t="s">
        <v>1998</v>
      </c>
      <c r="H102" s="12" t="s">
        <v>2276</v>
      </c>
      <c r="I102" s="12" t="s">
        <v>2065</v>
      </c>
      <c r="J102" t="s">
        <v>52</v>
      </c>
      <c r="K102">
        <v>3</v>
      </c>
      <c r="L102">
        <v>49</v>
      </c>
      <c r="M102">
        <v>97</v>
      </c>
    </row>
    <row r="103" spans="1:13">
      <c r="A103">
        <v>81</v>
      </c>
      <c r="B103" s="106" t="s">
        <v>1957</v>
      </c>
      <c r="C103">
        <v>19</v>
      </c>
      <c r="D103" s="12" t="s">
        <v>18</v>
      </c>
      <c r="E103">
        <v>2024</v>
      </c>
      <c r="F103" t="s">
        <v>1999</v>
      </c>
      <c r="G103" s="12" t="s">
        <v>2000</v>
      </c>
      <c r="H103" s="12" t="s">
        <v>2001</v>
      </c>
      <c r="I103" s="12" t="s">
        <v>2065</v>
      </c>
      <c r="J103" t="s">
        <v>52</v>
      </c>
      <c r="K103">
        <v>3</v>
      </c>
      <c r="L103">
        <v>49</v>
      </c>
      <c r="M103">
        <v>98</v>
      </c>
    </row>
    <row r="104" spans="1:13">
      <c r="A104">
        <v>82</v>
      </c>
      <c r="B104" s="106" t="s">
        <v>1958</v>
      </c>
      <c r="C104">
        <v>19</v>
      </c>
      <c r="D104" s="12" t="s">
        <v>18</v>
      </c>
      <c r="E104">
        <v>2024</v>
      </c>
      <c r="F104" t="s">
        <v>2002</v>
      </c>
      <c r="G104" s="12" t="s">
        <v>2003</v>
      </c>
      <c r="H104" s="12" t="s">
        <v>2004</v>
      </c>
      <c r="I104" s="12" t="s">
        <v>2065</v>
      </c>
      <c r="J104" t="s">
        <v>52</v>
      </c>
      <c r="K104">
        <v>3</v>
      </c>
      <c r="L104">
        <v>50</v>
      </c>
      <c r="M104">
        <v>99</v>
      </c>
    </row>
    <row r="105" spans="1:13">
      <c r="A105">
        <v>83</v>
      </c>
      <c r="B105" s="106" t="s">
        <v>1959</v>
      </c>
      <c r="C105">
        <v>19</v>
      </c>
      <c r="D105" s="12" t="s">
        <v>18</v>
      </c>
      <c r="E105">
        <v>2024</v>
      </c>
      <c r="F105" t="s">
        <v>2005</v>
      </c>
      <c r="G105" s="12" t="s">
        <v>2006</v>
      </c>
      <c r="H105" s="12" t="s">
        <v>2007</v>
      </c>
      <c r="I105" s="12" t="s">
        <v>2065</v>
      </c>
      <c r="J105" t="s">
        <v>52</v>
      </c>
      <c r="K105">
        <v>3</v>
      </c>
      <c r="L105">
        <v>50</v>
      </c>
      <c r="M105">
        <v>100</v>
      </c>
    </row>
    <row r="106" spans="1:13">
      <c r="A106">
        <v>84</v>
      </c>
      <c r="B106" s="106" t="s">
        <v>1960</v>
      </c>
      <c r="C106">
        <v>19</v>
      </c>
      <c r="D106" s="12" t="s">
        <v>18</v>
      </c>
      <c r="E106">
        <v>2024</v>
      </c>
      <c r="F106" t="s">
        <v>391</v>
      </c>
      <c r="G106" s="12" t="s">
        <v>2008</v>
      </c>
      <c r="H106" s="12" t="s">
        <v>2009</v>
      </c>
      <c r="I106" s="12" t="s">
        <v>2065</v>
      </c>
      <c r="J106" t="s">
        <v>52</v>
      </c>
      <c r="K106">
        <v>3</v>
      </c>
      <c r="L106">
        <v>51</v>
      </c>
      <c r="M106">
        <v>101</v>
      </c>
    </row>
    <row r="107" spans="1:13">
      <c r="A107">
        <v>85</v>
      </c>
      <c r="B107" s="105" t="s">
        <v>1961</v>
      </c>
      <c r="C107">
        <v>19</v>
      </c>
      <c r="D107" s="12" t="s">
        <v>18</v>
      </c>
      <c r="E107">
        <v>2024</v>
      </c>
      <c r="F107" t="s">
        <v>2010</v>
      </c>
      <c r="G107" s="12" t="s">
        <v>639</v>
      </c>
      <c r="H107" s="12" t="s">
        <v>2011</v>
      </c>
      <c r="I107" s="12" t="s">
        <v>2065</v>
      </c>
      <c r="J107" t="s">
        <v>52</v>
      </c>
      <c r="K107">
        <v>3</v>
      </c>
      <c r="L107">
        <v>51</v>
      </c>
      <c r="M107">
        <v>102</v>
      </c>
    </row>
    <row r="108" spans="1:13">
      <c r="A108">
        <v>86</v>
      </c>
      <c r="B108" s="105" t="s">
        <v>1962</v>
      </c>
      <c r="C108">
        <v>19</v>
      </c>
      <c r="D108" s="12" t="s">
        <v>18</v>
      </c>
      <c r="E108">
        <v>2024</v>
      </c>
      <c r="F108" t="s">
        <v>2012</v>
      </c>
      <c r="G108" s="12" t="s">
        <v>2013</v>
      </c>
      <c r="H108" s="12" t="s">
        <v>2014</v>
      </c>
      <c r="I108" s="12" t="s">
        <v>2065</v>
      </c>
      <c r="J108" t="s">
        <v>52</v>
      </c>
      <c r="K108">
        <v>3</v>
      </c>
      <c r="L108">
        <v>52</v>
      </c>
      <c r="M108">
        <v>103</v>
      </c>
    </row>
    <row r="109" spans="1:13">
      <c r="A109">
        <v>87</v>
      </c>
      <c r="B109" s="106" t="s">
        <v>1963</v>
      </c>
      <c r="C109">
        <v>19</v>
      </c>
      <c r="D109" s="12" t="s">
        <v>18</v>
      </c>
      <c r="E109">
        <v>2024</v>
      </c>
      <c r="F109" t="s">
        <v>2015</v>
      </c>
      <c r="G109" s="12" t="s">
        <v>1974</v>
      </c>
      <c r="H109" s="12" t="s">
        <v>1611</v>
      </c>
      <c r="I109" s="12" t="s">
        <v>2065</v>
      </c>
      <c r="J109" t="s">
        <v>52</v>
      </c>
      <c r="K109">
        <v>3</v>
      </c>
      <c r="L109">
        <v>52</v>
      </c>
      <c r="M109">
        <v>104</v>
      </c>
    </row>
    <row r="110" spans="1:13">
      <c r="A110">
        <v>88</v>
      </c>
      <c r="B110" s="105" t="s">
        <v>1964</v>
      </c>
      <c r="C110">
        <v>19</v>
      </c>
      <c r="D110" s="12" t="s">
        <v>18</v>
      </c>
      <c r="E110">
        <v>2024</v>
      </c>
      <c r="F110" t="s">
        <v>2068</v>
      </c>
      <c r="G110" s="12" t="s">
        <v>2016</v>
      </c>
      <c r="H110" s="12" t="s">
        <v>2017</v>
      </c>
      <c r="I110" s="12" t="s">
        <v>2065</v>
      </c>
      <c r="J110" t="s">
        <v>52</v>
      </c>
      <c r="K110">
        <v>3</v>
      </c>
      <c r="L110">
        <v>53</v>
      </c>
      <c r="M110">
        <v>105</v>
      </c>
    </row>
    <row r="111" spans="1:13" ht="13.5" customHeight="1"/>
    <row r="112" spans="1:13">
      <c r="B112" s="24" t="s">
        <v>2022</v>
      </c>
    </row>
    <row r="113" spans="1:13">
      <c r="B113" s="22" t="s">
        <v>31</v>
      </c>
      <c r="C113" s="104" t="s">
        <v>10</v>
      </c>
      <c r="D113" s="104" t="s">
        <v>11</v>
      </c>
      <c r="E113" s="104" t="s">
        <v>12</v>
      </c>
      <c r="F113" s="2" t="s">
        <v>27</v>
      </c>
      <c r="G113" s="2" t="s">
        <v>26</v>
      </c>
      <c r="H113" s="2" t="s">
        <v>28</v>
      </c>
      <c r="I113" s="2" t="s">
        <v>39</v>
      </c>
      <c r="J113" s="2" t="s">
        <v>24</v>
      </c>
      <c r="K113" s="2" t="s">
        <v>0</v>
      </c>
      <c r="L113" s="2" t="s">
        <v>1</v>
      </c>
      <c r="M113" s="2" t="s">
        <v>2</v>
      </c>
    </row>
    <row r="114" spans="1:13">
      <c r="A114">
        <v>89</v>
      </c>
      <c r="B114" t="s">
        <v>2023</v>
      </c>
      <c r="C114">
        <v>19</v>
      </c>
      <c r="D114" t="s">
        <v>18</v>
      </c>
      <c r="E114">
        <v>2024</v>
      </c>
      <c r="G114" t="s">
        <v>1506</v>
      </c>
      <c r="H114" t="s">
        <v>2036</v>
      </c>
      <c r="I114" s="12" t="s">
        <v>2065</v>
      </c>
      <c r="J114" t="s">
        <v>52</v>
      </c>
      <c r="K114">
        <v>3</v>
      </c>
      <c r="L114">
        <v>53</v>
      </c>
      <c r="M114">
        <v>106</v>
      </c>
    </row>
    <row r="115" spans="1:13">
      <c r="A115">
        <v>90</v>
      </c>
      <c r="B115" t="s">
        <v>2024</v>
      </c>
      <c r="C115">
        <v>19</v>
      </c>
      <c r="D115" t="s">
        <v>18</v>
      </c>
      <c r="E115">
        <v>2024</v>
      </c>
      <c r="F115" t="s">
        <v>2037</v>
      </c>
      <c r="G115" t="s">
        <v>2038</v>
      </c>
      <c r="H115" t="s">
        <v>1529</v>
      </c>
      <c r="I115" s="12" t="s">
        <v>2065</v>
      </c>
      <c r="J115" t="s">
        <v>52</v>
      </c>
      <c r="K115">
        <v>3</v>
      </c>
      <c r="L115">
        <v>54</v>
      </c>
      <c r="M115">
        <v>107</v>
      </c>
    </row>
    <row r="116" spans="1:13">
      <c r="A116">
        <v>91</v>
      </c>
      <c r="B116" t="s">
        <v>1541</v>
      </c>
      <c r="C116">
        <v>19</v>
      </c>
      <c r="D116" t="s">
        <v>18</v>
      </c>
      <c r="E116">
        <v>2024</v>
      </c>
      <c r="F116" t="s">
        <v>2039</v>
      </c>
      <c r="G116" t="s">
        <v>1543</v>
      </c>
      <c r="H116" t="s">
        <v>2040</v>
      </c>
      <c r="I116" s="12" t="s">
        <v>2065</v>
      </c>
      <c r="J116" t="s">
        <v>52</v>
      </c>
      <c r="K116">
        <v>3</v>
      </c>
      <c r="L116">
        <v>54</v>
      </c>
      <c r="M116">
        <v>108</v>
      </c>
    </row>
    <row r="117" spans="1:13">
      <c r="A117">
        <v>92</v>
      </c>
      <c r="B117" t="s">
        <v>2025</v>
      </c>
      <c r="C117">
        <v>19</v>
      </c>
      <c r="D117" t="s">
        <v>18</v>
      </c>
      <c r="E117">
        <v>2024</v>
      </c>
      <c r="F117" t="s">
        <v>2041</v>
      </c>
      <c r="G117" t="s">
        <v>2042</v>
      </c>
      <c r="H117" t="s">
        <v>2043</v>
      </c>
      <c r="I117" s="12" t="s">
        <v>2065</v>
      </c>
      <c r="J117" t="s">
        <v>52</v>
      </c>
      <c r="K117">
        <v>3</v>
      </c>
      <c r="L117">
        <v>55</v>
      </c>
      <c r="M117">
        <v>109</v>
      </c>
    </row>
    <row r="118" spans="1:13">
      <c r="A118">
        <v>93</v>
      </c>
      <c r="B118" t="s">
        <v>2026</v>
      </c>
      <c r="C118">
        <v>19</v>
      </c>
      <c r="D118" t="s">
        <v>18</v>
      </c>
      <c r="E118">
        <v>2024</v>
      </c>
      <c r="F118" t="s">
        <v>248</v>
      </c>
      <c r="G118" t="s">
        <v>2044</v>
      </c>
      <c r="H118" t="s">
        <v>1075</v>
      </c>
      <c r="I118" s="12" t="s">
        <v>2065</v>
      </c>
      <c r="J118" t="s">
        <v>52</v>
      </c>
      <c r="K118">
        <v>3</v>
      </c>
      <c r="L118">
        <v>55</v>
      </c>
      <c r="M118">
        <v>110</v>
      </c>
    </row>
    <row r="119" spans="1:13">
      <c r="A119">
        <v>94</v>
      </c>
      <c r="B119" t="s">
        <v>2027</v>
      </c>
      <c r="C119">
        <v>19</v>
      </c>
      <c r="D119" t="s">
        <v>18</v>
      </c>
      <c r="E119">
        <v>2024</v>
      </c>
      <c r="F119" t="s">
        <v>263</v>
      </c>
      <c r="G119" t="s">
        <v>264</v>
      </c>
      <c r="H119" t="s">
        <v>2045</v>
      </c>
      <c r="I119" s="12" t="s">
        <v>2065</v>
      </c>
      <c r="J119" t="s">
        <v>52</v>
      </c>
      <c r="K119">
        <v>3</v>
      </c>
      <c r="L119">
        <v>56</v>
      </c>
      <c r="M119">
        <v>111</v>
      </c>
    </row>
    <row r="120" spans="1:13">
      <c r="A120">
        <v>95</v>
      </c>
      <c r="B120" t="s">
        <v>2035</v>
      </c>
      <c r="C120">
        <v>19</v>
      </c>
      <c r="D120" t="s">
        <v>18</v>
      </c>
      <c r="E120">
        <v>2024</v>
      </c>
      <c r="F120" t="s">
        <v>1073</v>
      </c>
      <c r="G120" t="s">
        <v>2046</v>
      </c>
      <c r="H120" t="s">
        <v>1533</v>
      </c>
      <c r="I120" s="12" t="s">
        <v>2065</v>
      </c>
      <c r="J120" t="s">
        <v>52</v>
      </c>
      <c r="K120">
        <v>3</v>
      </c>
      <c r="L120">
        <v>56</v>
      </c>
      <c r="M120">
        <v>112</v>
      </c>
    </row>
    <row r="121" spans="1:13">
      <c r="A121">
        <v>96</v>
      </c>
      <c r="B121" t="s">
        <v>2028</v>
      </c>
      <c r="C121">
        <v>19</v>
      </c>
      <c r="D121" t="s">
        <v>18</v>
      </c>
      <c r="E121">
        <v>2024</v>
      </c>
      <c r="F121" t="s">
        <v>2069</v>
      </c>
      <c r="G121" t="s">
        <v>2047</v>
      </c>
      <c r="H121" t="s">
        <v>2048</v>
      </c>
      <c r="I121" s="12" t="s">
        <v>2065</v>
      </c>
      <c r="J121" t="s">
        <v>52</v>
      </c>
      <c r="K121">
        <v>3</v>
      </c>
      <c r="L121">
        <v>57</v>
      </c>
      <c r="M121">
        <v>113</v>
      </c>
    </row>
    <row r="122" spans="1:13">
      <c r="A122">
        <v>97</v>
      </c>
      <c r="B122" t="s">
        <v>2029</v>
      </c>
      <c r="C122">
        <v>19</v>
      </c>
      <c r="D122" t="s">
        <v>18</v>
      </c>
      <c r="E122">
        <v>2024</v>
      </c>
      <c r="F122" t="s">
        <v>1481</v>
      </c>
      <c r="G122" t="s">
        <v>1482</v>
      </c>
      <c r="H122" t="s">
        <v>2049</v>
      </c>
      <c r="I122" s="12" t="s">
        <v>2065</v>
      </c>
      <c r="J122" t="s">
        <v>52</v>
      </c>
      <c r="K122">
        <v>3</v>
      </c>
      <c r="L122">
        <v>57</v>
      </c>
      <c r="M122">
        <v>114</v>
      </c>
    </row>
    <row r="123" spans="1:13">
      <c r="A123">
        <v>98</v>
      </c>
      <c r="B123" t="s">
        <v>1483</v>
      </c>
      <c r="C123">
        <v>19</v>
      </c>
      <c r="D123" t="s">
        <v>18</v>
      </c>
      <c r="E123">
        <v>2024</v>
      </c>
      <c r="F123" t="s">
        <v>1484</v>
      </c>
      <c r="G123" t="s">
        <v>1485</v>
      </c>
      <c r="H123" t="s">
        <v>2050</v>
      </c>
      <c r="I123" s="12" t="s">
        <v>2065</v>
      </c>
      <c r="J123" t="s">
        <v>52</v>
      </c>
      <c r="K123">
        <v>3</v>
      </c>
      <c r="L123">
        <v>58</v>
      </c>
      <c r="M123">
        <v>115</v>
      </c>
    </row>
    <row r="124" spans="1:13">
      <c r="A124">
        <v>99</v>
      </c>
      <c r="B124" t="s">
        <v>2030</v>
      </c>
      <c r="C124">
        <v>19</v>
      </c>
      <c r="D124" t="s">
        <v>18</v>
      </c>
      <c r="E124">
        <v>2024</v>
      </c>
      <c r="F124" t="s">
        <v>1528</v>
      </c>
      <c r="G124" t="s">
        <v>1529</v>
      </c>
      <c r="H124" t="s">
        <v>2051</v>
      </c>
      <c r="I124" s="12" t="s">
        <v>2065</v>
      </c>
      <c r="J124" t="s">
        <v>52</v>
      </c>
      <c r="K124">
        <v>3</v>
      </c>
      <c r="L124">
        <v>58</v>
      </c>
      <c r="M124">
        <v>116</v>
      </c>
    </row>
    <row r="125" spans="1:13">
      <c r="A125">
        <v>100</v>
      </c>
      <c r="B125" t="s">
        <v>2031</v>
      </c>
      <c r="C125">
        <v>19</v>
      </c>
      <c r="D125" t="s">
        <v>18</v>
      </c>
      <c r="E125">
        <v>2024</v>
      </c>
      <c r="F125" t="s">
        <v>2052</v>
      </c>
      <c r="G125" t="s">
        <v>2053</v>
      </c>
      <c r="H125" t="s">
        <v>2054</v>
      </c>
      <c r="I125" s="12" t="s">
        <v>2065</v>
      </c>
      <c r="J125" t="s">
        <v>52</v>
      </c>
      <c r="K125">
        <v>3</v>
      </c>
      <c r="L125">
        <v>59</v>
      </c>
      <c r="M125">
        <v>117</v>
      </c>
    </row>
    <row r="126" spans="1:13">
      <c r="A126">
        <v>101</v>
      </c>
      <c r="B126" t="s">
        <v>2032</v>
      </c>
      <c r="C126">
        <v>19</v>
      </c>
      <c r="D126" t="s">
        <v>18</v>
      </c>
      <c r="E126">
        <v>2024</v>
      </c>
      <c r="F126" t="s">
        <v>2055</v>
      </c>
      <c r="G126" t="s">
        <v>2056</v>
      </c>
      <c r="H126" t="s">
        <v>2057</v>
      </c>
      <c r="I126" s="12" t="s">
        <v>2065</v>
      </c>
      <c r="J126" t="s">
        <v>52</v>
      </c>
      <c r="K126">
        <v>3</v>
      </c>
      <c r="L126">
        <v>59</v>
      </c>
      <c r="M126">
        <v>118</v>
      </c>
    </row>
    <row r="127" spans="1:13">
      <c r="A127">
        <v>102</v>
      </c>
      <c r="B127" t="s">
        <v>1546</v>
      </c>
      <c r="C127">
        <v>19</v>
      </c>
      <c r="D127" t="s">
        <v>18</v>
      </c>
      <c r="E127">
        <v>2024</v>
      </c>
      <c r="F127" t="s">
        <v>1548</v>
      </c>
      <c r="G127" t="s">
        <v>2058</v>
      </c>
      <c r="H127" t="s">
        <v>2059</v>
      </c>
      <c r="I127" s="12" t="s">
        <v>2065</v>
      </c>
      <c r="J127" t="s">
        <v>52</v>
      </c>
      <c r="K127">
        <v>3</v>
      </c>
      <c r="L127">
        <v>60</v>
      </c>
      <c r="M127">
        <v>119</v>
      </c>
    </row>
    <row r="128" spans="1:13">
      <c r="A128">
        <v>103</v>
      </c>
      <c r="B128" t="s">
        <v>2033</v>
      </c>
      <c r="C128">
        <v>19</v>
      </c>
      <c r="D128" t="s">
        <v>18</v>
      </c>
      <c r="E128">
        <v>2024</v>
      </c>
      <c r="F128" t="s">
        <v>2070</v>
      </c>
      <c r="G128" t="s">
        <v>2060</v>
      </c>
      <c r="H128" t="s">
        <v>2061</v>
      </c>
      <c r="I128" s="12" t="s">
        <v>2065</v>
      </c>
      <c r="J128" t="s">
        <v>52</v>
      </c>
      <c r="K128">
        <v>3</v>
      </c>
      <c r="L128">
        <v>60</v>
      </c>
      <c r="M128">
        <v>120</v>
      </c>
    </row>
    <row r="129" spans="1:13">
      <c r="A129">
        <v>104</v>
      </c>
      <c r="B129" t="s">
        <v>2034</v>
      </c>
      <c r="C129">
        <v>19</v>
      </c>
      <c r="D129" t="s">
        <v>18</v>
      </c>
      <c r="E129">
        <v>2024</v>
      </c>
      <c r="F129" t="s">
        <v>2062</v>
      </c>
      <c r="G129" t="s">
        <v>2063</v>
      </c>
      <c r="H129" t="s">
        <v>2064</v>
      </c>
      <c r="I129" s="12" t="s">
        <v>2065</v>
      </c>
      <c r="J129" t="s">
        <v>52</v>
      </c>
      <c r="K129">
        <v>3</v>
      </c>
      <c r="L129">
        <v>61</v>
      </c>
      <c r="M129">
        <v>121</v>
      </c>
    </row>
    <row r="131" spans="1:13">
      <c r="B131" s="24" t="s">
        <v>2275</v>
      </c>
    </row>
    <row r="132" spans="1:13">
      <c r="B132" s="22" t="s">
        <v>31</v>
      </c>
      <c r="C132" s="107" t="s">
        <v>10</v>
      </c>
      <c r="D132" s="107" t="s">
        <v>11</v>
      </c>
      <c r="E132" s="107" t="s">
        <v>12</v>
      </c>
      <c r="F132" s="2" t="s">
        <v>27</v>
      </c>
      <c r="G132" s="2" t="s">
        <v>26</v>
      </c>
      <c r="H132" s="2" t="s">
        <v>28</v>
      </c>
      <c r="I132" s="2" t="s">
        <v>39</v>
      </c>
      <c r="J132" s="2" t="s">
        <v>24</v>
      </c>
      <c r="K132" s="2" t="s">
        <v>0</v>
      </c>
      <c r="L132" s="2" t="s">
        <v>1</v>
      </c>
      <c r="M132" s="2" t="s">
        <v>2</v>
      </c>
    </row>
    <row r="133" spans="1:13">
      <c r="A133">
        <v>105</v>
      </c>
      <c r="B133" t="s">
        <v>2071</v>
      </c>
      <c r="C133">
        <v>19</v>
      </c>
      <c r="D133" t="s">
        <v>18</v>
      </c>
      <c r="E133">
        <v>2024</v>
      </c>
      <c r="F133" t="s">
        <v>2072</v>
      </c>
      <c r="G133" t="s">
        <v>2073</v>
      </c>
      <c r="H133" t="s">
        <v>2074</v>
      </c>
      <c r="I133" s="12" t="s">
        <v>2065</v>
      </c>
      <c r="J133" t="s">
        <v>52</v>
      </c>
      <c r="K133">
        <v>3</v>
      </c>
      <c r="L133">
        <v>61</v>
      </c>
      <c r="M133">
        <v>122</v>
      </c>
    </row>
    <row r="134" spans="1:13">
      <c r="A134">
        <v>106</v>
      </c>
      <c r="B134" t="s">
        <v>2075</v>
      </c>
      <c r="C134">
        <v>19</v>
      </c>
      <c r="D134" t="s">
        <v>18</v>
      </c>
      <c r="E134">
        <v>2024</v>
      </c>
      <c r="F134" t="s">
        <v>2076</v>
      </c>
      <c r="G134" t="s">
        <v>2077</v>
      </c>
      <c r="H134" t="s">
        <v>2078</v>
      </c>
      <c r="I134" s="12" t="s">
        <v>2065</v>
      </c>
      <c r="J134" t="s">
        <v>52</v>
      </c>
      <c r="K134">
        <v>3</v>
      </c>
      <c r="L134">
        <v>62</v>
      </c>
      <c r="M134">
        <v>123</v>
      </c>
    </row>
    <row r="135" spans="1:13">
      <c r="A135">
        <v>107</v>
      </c>
      <c r="B135" t="s">
        <v>2079</v>
      </c>
      <c r="C135">
        <v>19</v>
      </c>
      <c r="D135" t="s">
        <v>18</v>
      </c>
      <c r="E135">
        <v>2024</v>
      </c>
      <c r="F135" t="s">
        <v>2080</v>
      </c>
      <c r="G135" t="s">
        <v>2081</v>
      </c>
      <c r="H135" t="s">
        <v>2082</v>
      </c>
      <c r="I135" s="12" t="s">
        <v>2065</v>
      </c>
      <c r="J135" t="s">
        <v>52</v>
      </c>
      <c r="K135">
        <v>3</v>
      </c>
      <c r="L135">
        <v>62</v>
      </c>
      <c r="M135">
        <v>124</v>
      </c>
    </row>
    <row r="136" spans="1:13">
      <c r="A136">
        <v>108</v>
      </c>
      <c r="B136" t="s">
        <v>1475</v>
      </c>
      <c r="C136">
        <v>19</v>
      </c>
      <c r="D136" t="s">
        <v>18</v>
      </c>
      <c r="E136">
        <v>2024</v>
      </c>
      <c r="F136" t="s">
        <v>2083</v>
      </c>
      <c r="G136" t="s">
        <v>2084</v>
      </c>
      <c r="H136" t="s">
        <v>1463</v>
      </c>
      <c r="I136" s="12" t="s">
        <v>2065</v>
      </c>
      <c r="J136" t="s">
        <v>52</v>
      </c>
      <c r="K136">
        <v>3</v>
      </c>
      <c r="L136">
        <v>63</v>
      </c>
      <c r="M136">
        <v>125</v>
      </c>
    </row>
    <row r="137" spans="1:13">
      <c r="A137">
        <v>109</v>
      </c>
      <c r="B137" t="s">
        <v>2085</v>
      </c>
      <c r="C137">
        <v>19</v>
      </c>
      <c r="D137" t="s">
        <v>18</v>
      </c>
      <c r="E137">
        <v>2024</v>
      </c>
      <c r="F137" t="s">
        <v>2086</v>
      </c>
      <c r="G137" t="s">
        <v>2087</v>
      </c>
      <c r="H137" t="s">
        <v>2088</v>
      </c>
      <c r="I137" s="12" t="s">
        <v>2065</v>
      </c>
      <c r="J137" t="s">
        <v>52</v>
      </c>
      <c r="K137">
        <v>3</v>
      </c>
      <c r="L137">
        <v>63</v>
      </c>
      <c r="M137">
        <v>126</v>
      </c>
    </row>
    <row r="138" spans="1:13">
      <c r="A138">
        <v>110</v>
      </c>
      <c r="B138" t="s">
        <v>2089</v>
      </c>
      <c r="C138">
        <v>19</v>
      </c>
      <c r="D138" t="s">
        <v>18</v>
      </c>
      <c r="E138">
        <v>2024</v>
      </c>
      <c r="F138" t="s">
        <v>2090</v>
      </c>
      <c r="G138" t="s">
        <v>2091</v>
      </c>
      <c r="H138" t="s">
        <v>2092</v>
      </c>
      <c r="I138" s="12" t="s">
        <v>2065</v>
      </c>
      <c r="J138" t="s">
        <v>52</v>
      </c>
      <c r="K138">
        <v>3</v>
      </c>
      <c r="L138">
        <v>64</v>
      </c>
      <c r="M138">
        <v>127</v>
      </c>
    </row>
    <row r="139" spans="1:13">
      <c r="A139">
        <v>111</v>
      </c>
      <c r="B139" t="s">
        <v>2093</v>
      </c>
      <c r="C139">
        <v>19</v>
      </c>
      <c r="D139" t="s">
        <v>18</v>
      </c>
      <c r="E139">
        <v>2024</v>
      </c>
      <c r="F139" t="s">
        <v>1724</v>
      </c>
      <c r="G139" t="s">
        <v>2094</v>
      </c>
      <c r="H139" t="s">
        <v>2095</v>
      </c>
      <c r="I139" s="12" t="s">
        <v>2065</v>
      </c>
      <c r="J139" t="s">
        <v>52</v>
      </c>
      <c r="K139">
        <v>3</v>
      </c>
      <c r="L139">
        <v>64</v>
      </c>
      <c r="M139">
        <v>128</v>
      </c>
    </row>
    <row r="140" spans="1:13">
      <c r="A140">
        <v>112</v>
      </c>
      <c r="B140" t="s">
        <v>2096</v>
      </c>
      <c r="C140">
        <v>19</v>
      </c>
      <c r="D140" t="s">
        <v>18</v>
      </c>
      <c r="E140">
        <v>2024</v>
      </c>
      <c r="F140" t="s">
        <v>861</v>
      </c>
      <c r="G140" t="s">
        <v>2074</v>
      </c>
      <c r="H140" t="s">
        <v>2097</v>
      </c>
      <c r="I140" s="12" t="s">
        <v>2065</v>
      </c>
      <c r="J140" t="s">
        <v>52</v>
      </c>
      <c r="K140">
        <v>3</v>
      </c>
      <c r="L140">
        <v>65</v>
      </c>
      <c r="M140">
        <v>129</v>
      </c>
    </row>
    <row r="141" spans="1:13">
      <c r="A141">
        <v>113</v>
      </c>
      <c r="B141" t="s">
        <v>2098</v>
      </c>
      <c r="C141">
        <v>19</v>
      </c>
      <c r="D141" t="s">
        <v>18</v>
      </c>
      <c r="E141">
        <v>2024</v>
      </c>
      <c r="F141" t="s">
        <v>2099</v>
      </c>
      <c r="G141" t="s">
        <v>2100</v>
      </c>
      <c r="H141" t="s">
        <v>2101</v>
      </c>
      <c r="I141" s="12" t="s">
        <v>2065</v>
      </c>
      <c r="J141" t="s">
        <v>52</v>
      </c>
      <c r="K141">
        <v>3</v>
      </c>
      <c r="L141">
        <v>65</v>
      </c>
      <c r="M141">
        <v>130</v>
      </c>
    </row>
    <row r="142" spans="1:13">
      <c r="A142">
        <v>114</v>
      </c>
      <c r="B142" t="s">
        <v>741</v>
      </c>
      <c r="C142">
        <v>19</v>
      </c>
      <c r="D142" t="s">
        <v>18</v>
      </c>
      <c r="E142">
        <v>2024</v>
      </c>
      <c r="F142" t="s">
        <v>742</v>
      </c>
      <c r="G142" t="s">
        <v>743</v>
      </c>
      <c r="H142" t="s">
        <v>2102</v>
      </c>
      <c r="I142" s="12" t="s">
        <v>2065</v>
      </c>
      <c r="J142" t="s">
        <v>52</v>
      </c>
      <c r="K142">
        <v>3</v>
      </c>
      <c r="L142">
        <v>66</v>
      </c>
      <c r="M142">
        <v>131</v>
      </c>
    </row>
    <row r="143" spans="1:13">
      <c r="A143">
        <v>115</v>
      </c>
      <c r="B143" t="s">
        <v>2103</v>
      </c>
      <c r="C143">
        <v>19</v>
      </c>
      <c r="D143" t="s">
        <v>18</v>
      </c>
      <c r="E143">
        <v>2024</v>
      </c>
      <c r="F143" t="s">
        <v>2104</v>
      </c>
      <c r="G143" t="s">
        <v>2105</v>
      </c>
      <c r="H143" t="s">
        <v>2106</v>
      </c>
      <c r="I143" s="12" t="s">
        <v>2065</v>
      </c>
      <c r="J143" t="s">
        <v>52</v>
      </c>
      <c r="K143">
        <v>3</v>
      </c>
      <c r="L143">
        <v>66</v>
      </c>
      <c r="M143">
        <v>132</v>
      </c>
    </row>
    <row r="144" spans="1:13">
      <c r="A144">
        <v>116</v>
      </c>
      <c r="B144" t="s">
        <v>2107</v>
      </c>
      <c r="C144">
        <v>19</v>
      </c>
      <c r="D144" t="s">
        <v>18</v>
      </c>
      <c r="E144">
        <v>2024</v>
      </c>
      <c r="G144" t="s">
        <v>2108</v>
      </c>
      <c r="H144" t="s">
        <v>2109</v>
      </c>
      <c r="I144" s="12" t="s">
        <v>2065</v>
      </c>
      <c r="J144" t="s">
        <v>52</v>
      </c>
      <c r="K144">
        <v>3</v>
      </c>
      <c r="L144">
        <v>67</v>
      </c>
      <c r="M144">
        <v>133</v>
      </c>
    </row>
    <row r="145" spans="1:13">
      <c r="A145">
        <v>117</v>
      </c>
      <c r="B145" t="s">
        <v>2110</v>
      </c>
      <c r="C145">
        <v>19</v>
      </c>
      <c r="D145" t="s">
        <v>18</v>
      </c>
      <c r="E145">
        <v>2024</v>
      </c>
      <c r="F145" t="s">
        <v>2111</v>
      </c>
      <c r="G145" t="s">
        <v>911</v>
      </c>
      <c r="H145" t="s">
        <v>2112</v>
      </c>
      <c r="I145" s="12" t="s">
        <v>2065</v>
      </c>
      <c r="J145" t="s">
        <v>52</v>
      </c>
      <c r="K145">
        <v>3</v>
      </c>
      <c r="L145">
        <v>67</v>
      </c>
      <c r="M145">
        <v>134</v>
      </c>
    </row>
    <row r="146" spans="1:13">
      <c r="A146">
        <v>118</v>
      </c>
      <c r="B146" t="s">
        <v>2113</v>
      </c>
      <c r="C146">
        <v>19</v>
      </c>
      <c r="D146" t="s">
        <v>18</v>
      </c>
      <c r="E146">
        <v>2024</v>
      </c>
      <c r="F146" t="s">
        <v>1815</v>
      </c>
      <c r="G146" t="s">
        <v>2114</v>
      </c>
      <c r="H146" t="s">
        <v>2115</v>
      </c>
      <c r="I146" s="12" t="s">
        <v>2065</v>
      </c>
      <c r="J146" t="s">
        <v>52</v>
      </c>
      <c r="K146">
        <v>3</v>
      </c>
      <c r="L146">
        <v>68</v>
      </c>
      <c r="M146">
        <v>135</v>
      </c>
    </row>
    <row r="147" spans="1:13">
      <c r="A147">
        <v>119</v>
      </c>
      <c r="B147" t="s">
        <v>2116</v>
      </c>
      <c r="C147">
        <v>19</v>
      </c>
      <c r="D147" t="s">
        <v>18</v>
      </c>
      <c r="E147">
        <v>2024</v>
      </c>
      <c r="F147" t="s">
        <v>622</v>
      </c>
      <c r="G147" t="s">
        <v>623</v>
      </c>
      <c r="H147" t="s">
        <v>2117</v>
      </c>
      <c r="I147" s="12" t="s">
        <v>2065</v>
      </c>
      <c r="J147" t="s">
        <v>52</v>
      </c>
      <c r="K147">
        <v>3</v>
      </c>
      <c r="L147">
        <v>68</v>
      </c>
      <c r="M147">
        <v>136</v>
      </c>
    </row>
    <row r="148" spans="1:13">
      <c r="A148">
        <v>120</v>
      </c>
      <c r="B148" t="s">
        <v>2118</v>
      </c>
      <c r="C148">
        <v>19</v>
      </c>
      <c r="D148" t="s">
        <v>18</v>
      </c>
      <c r="E148">
        <v>2024</v>
      </c>
      <c r="F148" t="s">
        <v>684</v>
      </c>
      <c r="G148" t="s">
        <v>685</v>
      </c>
      <c r="H148" t="s">
        <v>2119</v>
      </c>
      <c r="I148" s="12" t="s">
        <v>2065</v>
      </c>
      <c r="J148" t="s">
        <v>52</v>
      </c>
      <c r="K148">
        <v>3</v>
      </c>
      <c r="L148">
        <v>69</v>
      </c>
      <c r="M148">
        <v>137</v>
      </c>
    </row>
    <row r="149" spans="1:13">
      <c r="A149">
        <v>121</v>
      </c>
      <c r="B149" t="s">
        <v>2120</v>
      </c>
      <c r="C149">
        <v>19</v>
      </c>
      <c r="D149" t="s">
        <v>18</v>
      </c>
      <c r="E149">
        <v>2024</v>
      </c>
      <c r="F149" t="s">
        <v>2121</v>
      </c>
      <c r="G149" t="s">
        <v>2122</v>
      </c>
      <c r="H149" t="s">
        <v>2123</v>
      </c>
      <c r="I149" s="12" t="s">
        <v>2065</v>
      </c>
      <c r="J149" t="s">
        <v>52</v>
      </c>
      <c r="K149">
        <v>3</v>
      </c>
      <c r="L149">
        <v>69</v>
      </c>
      <c r="M149">
        <v>138</v>
      </c>
    </row>
    <row r="150" spans="1:13">
      <c r="A150">
        <v>122</v>
      </c>
      <c r="B150" t="s">
        <v>2124</v>
      </c>
      <c r="C150">
        <v>19</v>
      </c>
      <c r="D150" t="s">
        <v>18</v>
      </c>
      <c r="E150">
        <v>2024</v>
      </c>
      <c r="F150" t="s">
        <v>2125</v>
      </c>
      <c r="G150" t="s">
        <v>2126</v>
      </c>
      <c r="H150" t="s">
        <v>2127</v>
      </c>
      <c r="I150" s="12" t="s">
        <v>2065</v>
      </c>
      <c r="J150" t="s">
        <v>52</v>
      </c>
      <c r="K150">
        <v>3</v>
      </c>
      <c r="L150">
        <v>70</v>
      </c>
      <c r="M150">
        <v>139</v>
      </c>
    </row>
    <row r="151" spans="1:13">
      <c r="A151">
        <v>123</v>
      </c>
      <c r="B151" t="s">
        <v>2128</v>
      </c>
      <c r="C151">
        <v>19</v>
      </c>
      <c r="D151" t="s">
        <v>18</v>
      </c>
      <c r="E151">
        <v>2024</v>
      </c>
      <c r="F151" t="s">
        <v>2129</v>
      </c>
      <c r="G151" t="s">
        <v>2130</v>
      </c>
      <c r="H151" t="s">
        <v>2131</v>
      </c>
      <c r="I151" s="12" t="s">
        <v>2065</v>
      </c>
      <c r="J151" t="s">
        <v>52</v>
      </c>
      <c r="K151">
        <v>3</v>
      </c>
      <c r="L151">
        <v>70</v>
      </c>
      <c r="M151">
        <v>140</v>
      </c>
    </row>
    <row r="152" spans="1:13">
      <c r="A152">
        <v>124</v>
      </c>
      <c r="B152" t="s">
        <v>2338</v>
      </c>
      <c r="C152">
        <v>19</v>
      </c>
      <c r="D152" t="s">
        <v>18</v>
      </c>
      <c r="E152">
        <v>2024</v>
      </c>
      <c r="F152" t="s">
        <v>2339</v>
      </c>
      <c r="G152" t="s">
        <v>1777</v>
      </c>
      <c r="H152" t="s">
        <v>2132</v>
      </c>
      <c r="I152" s="12" t="s">
        <v>2065</v>
      </c>
      <c r="J152" t="s">
        <v>52</v>
      </c>
      <c r="K152">
        <v>3</v>
      </c>
      <c r="L152">
        <v>71</v>
      </c>
      <c r="M152">
        <v>141</v>
      </c>
    </row>
    <row r="153" spans="1:13">
      <c r="A153">
        <v>125</v>
      </c>
      <c r="B153" t="s">
        <v>2133</v>
      </c>
      <c r="C153">
        <v>19</v>
      </c>
      <c r="D153" t="s">
        <v>18</v>
      </c>
      <c r="E153">
        <v>2024</v>
      </c>
      <c r="F153" t="s">
        <v>2134</v>
      </c>
      <c r="G153" t="s">
        <v>2135</v>
      </c>
      <c r="H153" t="s">
        <v>2136</v>
      </c>
      <c r="I153" s="12" t="s">
        <v>2065</v>
      </c>
      <c r="J153" t="s">
        <v>52</v>
      </c>
      <c r="K153">
        <v>3</v>
      </c>
      <c r="L153">
        <v>71</v>
      </c>
      <c r="M153">
        <v>142</v>
      </c>
    </row>
    <row r="154" spans="1:13">
      <c r="A154">
        <v>126</v>
      </c>
      <c r="B154" t="s">
        <v>2137</v>
      </c>
      <c r="C154">
        <v>19</v>
      </c>
      <c r="D154" t="s">
        <v>18</v>
      </c>
      <c r="E154">
        <v>2024</v>
      </c>
      <c r="F154" t="s">
        <v>576</v>
      </c>
      <c r="G154" t="s">
        <v>554</v>
      </c>
      <c r="H154" t="s">
        <v>2138</v>
      </c>
      <c r="I154" s="12" t="s">
        <v>2065</v>
      </c>
      <c r="J154" t="s">
        <v>52</v>
      </c>
      <c r="K154">
        <v>3</v>
      </c>
      <c r="L154">
        <v>72</v>
      </c>
      <c r="M154">
        <v>143</v>
      </c>
    </row>
    <row r="155" spans="1:13">
      <c r="A155">
        <v>127</v>
      </c>
      <c r="B155" t="s">
        <v>2139</v>
      </c>
      <c r="C155">
        <v>19</v>
      </c>
      <c r="D155" t="s">
        <v>18</v>
      </c>
      <c r="E155">
        <v>2024</v>
      </c>
      <c r="F155" t="s">
        <v>2140</v>
      </c>
      <c r="G155" t="s">
        <v>2141</v>
      </c>
      <c r="H155" t="s">
        <v>2142</v>
      </c>
      <c r="I155" s="12" t="s">
        <v>2065</v>
      </c>
      <c r="J155" t="s">
        <v>52</v>
      </c>
      <c r="K155">
        <v>3</v>
      </c>
      <c r="L155">
        <v>72</v>
      </c>
      <c r="M155">
        <v>144</v>
      </c>
    </row>
    <row r="156" spans="1:13">
      <c r="A156">
        <v>128</v>
      </c>
      <c r="B156" t="s">
        <v>2143</v>
      </c>
      <c r="C156">
        <v>19</v>
      </c>
      <c r="D156" t="s">
        <v>18</v>
      </c>
      <c r="E156">
        <v>2024</v>
      </c>
      <c r="F156" t="s">
        <v>1709</v>
      </c>
      <c r="G156" t="s">
        <v>1710</v>
      </c>
      <c r="H156" t="s">
        <v>2144</v>
      </c>
      <c r="I156" s="12" t="s">
        <v>2065</v>
      </c>
      <c r="J156" t="s">
        <v>52</v>
      </c>
      <c r="K156">
        <v>3</v>
      </c>
      <c r="L156">
        <v>73</v>
      </c>
      <c r="M156">
        <v>145</v>
      </c>
    </row>
    <row r="157" spans="1:13">
      <c r="A157">
        <v>129</v>
      </c>
      <c r="B157" t="s">
        <v>2145</v>
      </c>
      <c r="C157">
        <v>19</v>
      </c>
      <c r="D157" t="s">
        <v>18</v>
      </c>
      <c r="E157">
        <v>2024</v>
      </c>
      <c r="F157" t="s">
        <v>2146</v>
      </c>
      <c r="G157" t="s">
        <v>2147</v>
      </c>
      <c r="H157" t="s">
        <v>2148</v>
      </c>
      <c r="I157" s="12" t="s">
        <v>2065</v>
      </c>
      <c r="J157" t="s">
        <v>52</v>
      </c>
      <c r="K157">
        <v>3</v>
      </c>
      <c r="L157">
        <v>73</v>
      </c>
      <c r="M157">
        <v>146</v>
      </c>
    </row>
    <row r="158" spans="1:13">
      <c r="A158">
        <v>130</v>
      </c>
      <c r="B158" t="s">
        <v>2149</v>
      </c>
      <c r="C158">
        <v>19</v>
      </c>
      <c r="D158" t="s">
        <v>18</v>
      </c>
      <c r="E158">
        <v>2024</v>
      </c>
      <c r="F158" t="s">
        <v>2150</v>
      </c>
      <c r="G158" t="s">
        <v>2151</v>
      </c>
      <c r="H158" t="s">
        <v>2152</v>
      </c>
      <c r="I158" s="12" t="s">
        <v>2065</v>
      </c>
      <c r="J158" t="s">
        <v>52</v>
      </c>
      <c r="K158">
        <v>3</v>
      </c>
      <c r="L158">
        <v>74</v>
      </c>
      <c r="M158">
        <v>147</v>
      </c>
    </row>
    <row r="160" spans="1:13">
      <c r="B160" s="24" t="s">
        <v>2154</v>
      </c>
    </row>
    <row r="161" spans="1:13">
      <c r="B161" s="22" t="s">
        <v>31</v>
      </c>
      <c r="C161" s="108" t="s">
        <v>10</v>
      </c>
      <c r="D161" s="108" t="s">
        <v>11</v>
      </c>
      <c r="E161" s="108" t="s">
        <v>12</v>
      </c>
      <c r="F161" s="2" t="s">
        <v>27</v>
      </c>
      <c r="G161" s="2" t="s">
        <v>26</v>
      </c>
      <c r="H161" s="2" t="s">
        <v>28</v>
      </c>
      <c r="I161" s="2" t="s">
        <v>39</v>
      </c>
      <c r="J161" s="2" t="s">
        <v>24</v>
      </c>
      <c r="K161" s="2" t="s">
        <v>0</v>
      </c>
      <c r="L161" s="2" t="s">
        <v>1</v>
      </c>
      <c r="M161" s="2" t="s">
        <v>2</v>
      </c>
    </row>
    <row r="162" spans="1:13">
      <c r="A162">
        <v>131</v>
      </c>
      <c r="B162" t="s">
        <v>1320</v>
      </c>
      <c r="C162">
        <v>19</v>
      </c>
      <c r="D162" t="s">
        <v>18</v>
      </c>
      <c r="E162">
        <v>2024</v>
      </c>
      <c r="F162" t="s">
        <v>2155</v>
      </c>
      <c r="G162" t="s">
        <v>1310</v>
      </c>
      <c r="H162" t="s">
        <v>1321</v>
      </c>
      <c r="I162" s="12" t="s">
        <v>2065</v>
      </c>
      <c r="J162" t="s">
        <v>52</v>
      </c>
      <c r="K162">
        <v>3</v>
      </c>
      <c r="L162">
        <v>74</v>
      </c>
      <c r="M162">
        <v>148</v>
      </c>
    </row>
    <row r="163" spans="1:13">
      <c r="I163" s="12"/>
    </row>
    <row r="164" spans="1:13">
      <c r="B164" s="24" t="s">
        <v>2267</v>
      </c>
    </row>
    <row r="165" spans="1:13">
      <c r="B165" s="22" t="s">
        <v>31</v>
      </c>
      <c r="C165" s="109" t="s">
        <v>10</v>
      </c>
      <c r="D165" s="109" t="s">
        <v>11</v>
      </c>
      <c r="E165" s="109" t="s">
        <v>12</v>
      </c>
      <c r="F165" s="2" t="s">
        <v>27</v>
      </c>
      <c r="G165" s="2" t="s">
        <v>26</v>
      </c>
      <c r="H165" s="2" t="s">
        <v>28</v>
      </c>
      <c r="I165" s="2" t="s">
        <v>39</v>
      </c>
      <c r="J165" s="2" t="s">
        <v>24</v>
      </c>
      <c r="K165" s="2" t="s">
        <v>0</v>
      </c>
      <c r="L165" s="2" t="s">
        <v>1</v>
      </c>
      <c r="M165" s="2" t="s">
        <v>2</v>
      </c>
    </row>
    <row r="166" spans="1:13">
      <c r="A166">
        <v>132</v>
      </c>
      <c r="B166" t="s">
        <v>1417</v>
      </c>
      <c r="C166">
        <v>19</v>
      </c>
      <c r="D166" t="s">
        <v>18</v>
      </c>
      <c r="E166">
        <v>2024</v>
      </c>
      <c r="F166" t="s">
        <v>1432</v>
      </c>
      <c r="G166" t="s">
        <v>1433</v>
      </c>
      <c r="H166" t="s">
        <v>2186</v>
      </c>
      <c r="I166" s="12" t="s">
        <v>2065</v>
      </c>
      <c r="J166" t="s">
        <v>52</v>
      </c>
      <c r="K166">
        <v>3</v>
      </c>
      <c r="L166">
        <v>75</v>
      </c>
      <c r="M166">
        <v>149</v>
      </c>
    </row>
    <row r="167" spans="1:13">
      <c r="A167">
        <v>133</v>
      </c>
      <c r="B167" t="s">
        <v>2157</v>
      </c>
      <c r="C167">
        <v>19</v>
      </c>
      <c r="D167" t="s">
        <v>18</v>
      </c>
      <c r="E167">
        <v>2024</v>
      </c>
      <c r="F167" t="s">
        <v>2187</v>
      </c>
      <c r="G167" t="s">
        <v>2188</v>
      </c>
      <c r="H167" t="s">
        <v>2189</v>
      </c>
      <c r="I167" s="12" t="s">
        <v>2065</v>
      </c>
      <c r="J167" t="s">
        <v>52</v>
      </c>
      <c r="K167">
        <v>3</v>
      </c>
      <c r="L167">
        <v>75</v>
      </c>
      <c r="M167">
        <v>150</v>
      </c>
    </row>
    <row r="168" spans="1:13">
      <c r="A168">
        <v>134</v>
      </c>
      <c r="B168" t="s">
        <v>2156</v>
      </c>
      <c r="C168">
        <v>19</v>
      </c>
      <c r="D168" t="s">
        <v>18</v>
      </c>
      <c r="E168">
        <v>2024</v>
      </c>
      <c r="F168" t="s">
        <v>2190</v>
      </c>
      <c r="G168" t="s">
        <v>2191</v>
      </c>
      <c r="H168" t="s">
        <v>2211</v>
      </c>
      <c r="I168" s="12" t="s">
        <v>2065</v>
      </c>
      <c r="J168" t="s">
        <v>52</v>
      </c>
      <c r="K168">
        <v>3</v>
      </c>
      <c r="L168">
        <v>76</v>
      </c>
      <c r="M168">
        <v>151</v>
      </c>
    </row>
    <row r="169" spans="1:13">
      <c r="A169">
        <v>135</v>
      </c>
      <c r="B169" t="s">
        <v>2158</v>
      </c>
      <c r="C169">
        <v>19</v>
      </c>
      <c r="D169" t="s">
        <v>18</v>
      </c>
      <c r="E169">
        <v>2024</v>
      </c>
      <c r="F169" t="s">
        <v>1827</v>
      </c>
      <c r="G169" t="s">
        <v>1828</v>
      </c>
      <c r="H169" t="s">
        <v>2192</v>
      </c>
      <c r="I169" s="12" t="s">
        <v>2065</v>
      </c>
      <c r="J169" t="s">
        <v>52</v>
      </c>
      <c r="K169">
        <v>3</v>
      </c>
      <c r="L169">
        <v>76</v>
      </c>
      <c r="M169">
        <v>152</v>
      </c>
    </row>
    <row r="170" spans="1:13">
      <c r="A170">
        <v>136</v>
      </c>
      <c r="B170" t="s">
        <v>2159</v>
      </c>
      <c r="C170">
        <v>19</v>
      </c>
      <c r="D170" t="s">
        <v>18</v>
      </c>
      <c r="E170">
        <v>2024</v>
      </c>
      <c r="F170" t="s">
        <v>2193</v>
      </c>
      <c r="G170" t="s">
        <v>2194</v>
      </c>
      <c r="H170" t="s">
        <v>2212</v>
      </c>
      <c r="I170" s="12" t="s">
        <v>2065</v>
      </c>
      <c r="J170" t="s">
        <v>52</v>
      </c>
      <c r="K170">
        <v>3</v>
      </c>
      <c r="L170">
        <v>77</v>
      </c>
      <c r="M170">
        <v>153</v>
      </c>
    </row>
    <row r="171" spans="1:13">
      <c r="A171">
        <v>137</v>
      </c>
      <c r="B171" t="s">
        <v>2160</v>
      </c>
      <c r="C171">
        <v>19</v>
      </c>
      <c r="D171" t="s">
        <v>18</v>
      </c>
      <c r="E171">
        <v>2024</v>
      </c>
      <c r="F171" t="s">
        <v>2195</v>
      </c>
      <c r="G171" t="s">
        <v>2196</v>
      </c>
      <c r="H171" t="s">
        <v>2197</v>
      </c>
      <c r="I171" s="12" t="s">
        <v>2065</v>
      </c>
      <c r="J171" t="s">
        <v>52</v>
      </c>
      <c r="K171">
        <v>3</v>
      </c>
      <c r="L171">
        <v>77</v>
      </c>
      <c r="M171">
        <v>154</v>
      </c>
    </row>
    <row r="172" spans="1:13">
      <c r="A172">
        <v>138</v>
      </c>
      <c r="B172" t="s">
        <v>732</v>
      </c>
      <c r="C172">
        <v>19</v>
      </c>
      <c r="D172" t="s">
        <v>18</v>
      </c>
      <c r="E172">
        <v>2024</v>
      </c>
      <c r="F172" t="s">
        <v>733</v>
      </c>
      <c r="G172" t="s">
        <v>734</v>
      </c>
      <c r="H172" t="s">
        <v>2198</v>
      </c>
      <c r="I172" s="12" t="s">
        <v>2065</v>
      </c>
      <c r="J172" t="s">
        <v>52</v>
      </c>
      <c r="K172">
        <v>3</v>
      </c>
      <c r="L172">
        <v>78</v>
      </c>
      <c r="M172">
        <v>155</v>
      </c>
    </row>
    <row r="173" spans="1:13">
      <c r="A173">
        <v>139</v>
      </c>
      <c r="B173" t="s">
        <v>2161</v>
      </c>
      <c r="C173">
        <v>19</v>
      </c>
      <c r="D173" t="s">
        <v>18</v>
      </c>
      <c r="E173">
        <v>2024</v>
      </c>
      <c r="F173" t="s">
        <v>2199</v>
      </c>
      <c r="G173" t="s">
        <v>2200</v>
      </c>
      <c r="H173" t="s">
        <v>2201</v>
      </c>
      <c r="I173" s="12" t="s">
        <v>2065</v>
      </c>
      <c r="J173" t="s">
        <v>52</v>
      </c>
      <c r="K173">
        <v>3</v>
      </c>
      <c r="L173">
        <v>78</v>
      </c>
      <c r="M173">
        <v>156</v>
      </c>
    </row>
    <row r="174" spans="1:13">
      <c r="A174">
        <v>140</v>
      </c>
      <c r="B174" t="s">
        <v>2162</v>
      </c>
      <c r="C174">
        <v>19</v>
      </c>
      <c r="D174" t="s">
        <v>18</v>
      </c>
      <c r="E174">
        <v>2024</v>
      </c>
      <c r="F174" t="s">
        <v>1782</v>
      </c>
      <c r="G174" t="s">
        <v>1315</v>
      </c>
      <c r="H174" t="s">
        <v>1780</v>
      </c>
      <c r="I174" s="12" t="s">
        <v>2065</v>
      </c>
      <c r="J174" t="s">
        <v>52</v>
      </c>
      <c r="K174">
        <v>3</v>
      </c>
      <c r="L174">
        <v>79</v>
      </c>
      <c r="M174">
        <v>157</v>
      </c>
    </row>
    <row r="175" spans="1:13">
      <c r="A175">
        <v>141</v>
      </c>
      <c r="B175" t="s">
        <v>2163</v>
      </c>
      <c r="C175">
        <v>19</v>
      </c>
      <c r="D175" t="s">
        <v>18</v>
      </c>
      <c r="E175">
        <v>2024</v>
      </c>
      <c r="F175" t="s">
        <v>2202</v>
      </c>
      <c r="G175" t="s">
        <v>2203</v>
      </c>
      <c r="H175" t="s">
        <v>2204</v>
      </c>
      <c r="I175" s="12" t="s">
        <v>2065</v>
      </c>
      <c r="J175" t="s">
        <v>52</v>
      </c>
      <c r="K175">
        <v>3</v>
      </c>
      <c r="L175">
        <v>79</v>
      </c>
      <c r="M175">
        <v>158</v>
      </c>
    </row>
    <row r="176" spans="1:13">
      <c r="A176">
        <v>142</v>
      </c>
      <c r="B176" t="s">
        <v>2164</v>
      </c>
      <c r="C176">
        <v>19</v>
      </c>
      <c r="D176" t="s">
        <v>18</v>
      </c>
      <c r="E176">
        <v>2024</v>
      </c>
      <c r="F176" t="s">
        <v>2205</v>
      </c>
      <c r="G176" t="s">
        <v>2206</v>
      </c>
      <c r="H176" t="s">
        <v>2207</v>
      </c>
      <c r="I176" s="12" t="s">
        <v>2065</v>
      </c>
      <c r="J176" t="s">
        <v>52</v>
      </c>
      <c r="K176">
        <v>3</v>
      </c>
      <c r="L176">
        <v>80</v>
      </c>
      <c r="M176">
        <v>159</v>
      </c>
    </row>
    <row r="177" spans="1:13">
      <c r="A177">
        <v>143</v>
      </c>
      <c r="B177" t="s">
        <v>2166</v>
      </c>
      <c r="C177">
        <v>19</v>
      </c>
      <c r="D177" t="s">
        <v>18</v>
      </c>
      <c r="E177">
        <v>2024</v>
      </c>
      <c r="F177" t="s">
        <v>2208</v>
      </c>
      <c r="G177" t="s">
        <v>2209</v>
      </c>
      <c r="H177" t="s">
        <v>2210</v>
      </c>
      <c r="I177" s="12" t="s">
        <v>2065</v>
      </c>
      <c r="J177" t="s">
        <v>52</v>
      </c>
      <c r="K177">
        <v>3</v>
      </c>
      <c r="L177">
        <v>80</v>
      </c>
      <c r="M177">
        <v>160</v>
      </c>
    </row>
    <row r="178" spans="1:13">
      <c r="A178">
        <v>144</v>
      </c>
      <c r="B178" t="s">
        <v>2165</v>
      </c>
      <c r="C178">
        <v>19</v>
      </c>
      <c r="D178" t="s">
        <v>18</v>
      </c>
      <c r="E178">
        <v>2024</v>
      </c>
      <c r="F178" t="s">
        <v>2213</v>
      </c>
      <c r="G178" t="s">
        <v>2214</v>
      </c>
      <c r="H178" t="s">
        <v>2215</v>
      </c>
      <c r="I178" s="12" t="s">
        <v>2065</v>
      </c>
      <c r="J178" t="s">
        <v>52</v>
      </c>
      <c r="K178">
        <v>3</v>
      </c>
      <c r="L178">
        <v>81</v>
      </c>
      <c r="M178">
        <v>161</v>
      </c>
    </row>
    <row r="179" spans="1:13">
      <c r="A179">
        <v>145</v>
      </c>
      <c r="B179" t="s">
        <v>2167</v>
      </c>
      <c r="C179">
        <v>19</v>
      </c>
      <c r="D179" t="s">
        <v>18</v>
      </c>
      <c r="E179">
        <v>2024</v>
      </c>
      <c r="F179" t="s">
        <v>2216</v>
      </c>
      <c r="G179" t="s">
        <v>1495</v>
      </c>
      <c r="H179" t="s">
        <v>2217</v>
      </c>
      <c r="I179" s="12" t="s">
        <v>2065</v>
      </c>
      <c r="J179" t="s">
        <v>52</v>
      </c>
      <c r="K179">
        <v>3</v>
      </c>
      <c r="L179">
        <v>81</v>
      </c>
      <c r="M179">
        <v>162</v>
      </c>
    </row>
    <row r="180" spans="1:13">
      <c r="A180">
        <v>146</v>
      </c>
      <c r="B180" t="s">
        <v>2168</v>
      </c>
      <c r="C180">
        <v>19</v>
      </c>
      <c r="D180" t="s">
        <v>18</v>
      </c>
      <c r="E180">
        <v>2024</v>
      </c>
      <c r="F180" t="s">
        <v>1242</v>
      </c>
      <c r="G180" t="s">
        <v>1243</v>
      </c>
      <c r="H180" t="s">
        <v>2218</v>
      </c>
      <c r="I180" s="12" t="s">
        <v>2065</v>
      </c>
      <c r="J180" t="s">
        <v>52</v>
      </c>
      <c r="K180">
        <v>3</v>
      </c>
      <c r="L180">
        <v>82</v>
      </c>
      <c r="M180">
        <v>163</v>
      </c>
    </row>
    <row r="181" spans="1:13">
      <c r="A181">
        <v>147</v>
      </c>
      <c r="B181" t="s">
        <v>2171</v>
      </c>
      <c r="C181">
        <v>19</v>
      </c>
      <c r="D181" t="s">
        <v>18</v>
      </c>
      <c r="E181">
        <v>2024</v>
      </c>
      <c r="F181" t="s">
        <v>2219</v>
      </c>
      <c r="G181" t="s">
        <v>2220</v>
      </c>
      <c r="H181" t="s">
        <v>2221</v>
      </c>
      <c r="I181" s="12" t="s">
        <v>2065</v>
      </c>
      <c r="J181" t="s">
        <v>52</v>
      </c>
      <c r="K181">
        <v>3</v>
      </c>
      <c r="L181">
        <v>82</v>
      </c>
      <c r="M181">
        <v>164</v>
      </c>
    </row>
    <row r="182" spans="1:13">
      <c r="A182">
        <v>148</v>
      </c>
      <c r="B182" t="s">
        <v>2169</v>
      </c>
      <c r="C182">
        <v>19</v>
      </c>
      <c r="D182" t="s">
        <v>18</v>
      </c>
      <c r="E182">
        <v>2024</v>
      </c>
      <c r="F182" t="s">
        <v>2222</v>
      </c>
      <c r="G182" t="s">
        <v>2223</v>
      </c>
      <c r="H182" t="s">
        <v>2224</v>
      </c>
      <c r="I182" s="12" t="s">
        <v>2065</v>
      </c>
      <c r="J182" t="s">
        <v>52</v>
      </c>
      <c r="K182">
        <v>3</v>
      </c>
      <c r="L182">
        <v>83</v>
      </c>
      <c r="M182">
        <v>165</v>
      </c>
    </row>
    <row r="183" spans="1:13">
      <c r="A183">
        <v>149</v>
      </c>
      <c r="B183" t="s">
        <v>2170</v>
      </c>
      <c r="C183">
        <v>19</v>
      </c>
      <c r="D183" t="s">
        <v>18</v>
      </c>
      <c r="E183">
        <v>2024</v>
      </c>
      <c r="F183" t="s">
        <v>2225</v>
      </c>
      <c r="G183" s="12" t="s">
        <v>2335</v>
      </c>
      <c r="H183" t="s">
        <v>2226</v>
      </c>
      <c r="I183" s="12" t="s">
        <v>2065</v>
      </c>
      <c r="J183" t="s">
        <v>52</v>
      </c>
      <c r="K183">
        <v>3</v>
      </c>
      <c r="L183">
        <v>83</v>
      </c>
      <c r="M183">
        <v>166</v>
      </c>
    </row>
    <row r="184" spans="1:13">
      <c r="A184">
        <v>150</v>
      </c>
      <c r="B184" t="s">
        <v>2172</v>
      </c>
      <c r="C184">
        <v>19</v>
      </c>
      <c r="D184" t="s">
        <v>18</v>
      </c>
      <c r="E184">
        <v>2024</v>
      </c>
      <c r="G184" t="s">
        <v>2227</v>
      </c>
      <c r="H184" t="s">
        <v>2228</v>
      </c>
      <c r="I184" s="12" t="s">
        <v>2065</v>
      </c>
      <c r="J184" t="s">
        <v>52</v>
      </c>
      <c r="K184">
        <v>3</v>
      </c>
      <c r="L184">
        <v>84</v>
      </c>
      <c r="M184">
        <v>167</v>
      </c>
    </row>
    <row r="185" spans="1:13">
      <c r="A185">
        <v>151</v>
      </c>
      <c r="B185" t="s">
        <v>2173</v>
      </c>
      <c r="C185">
        <v>19</v>
      </c>
      <c r="D185" t="s">
        <v>18</v>
      </c>
      <c r="E185">
        <v>2024</v>
      </c>
      <c r="F185" t="s">
        <v>2229</v>
      </c>
      <c r="G185" t="s">
        <v>2230</v>
      </c>
      <c r="H185" t="s">
        <v>2231</v>
      </c>
      <c r="I185" s="12" t="s">
        <v>2065</v>
      </c>
      <c r="J185" t="s">
        <v>52</v>
      </c>
      <c r="K185">
        <v>3</v>
      </c>
      <c r="L185">
        <v>84</v>
      </c>
      <c r="M185">
        <v>168</v>
      </c>
    </row>
    <row r="186" spans="1:13">
      <c r="A186">
        <v>152</v>
      </c>
      <c r="B186" t="s">
        <v>2174</v>
      </c>
      <c r="C186">
        <v>19</v>
      </c>
      <c r="D186" t="s">
        <v>18</v>
      </c>
      <c r="E186">
        <v>2024</v>
      </c>
      <c r="F186" t="s">
        <v>2232</v>
      </c>
      <c r="G186" t="s">
        <v>2233</v>
      </c>
      <c r="H186" t="s">
        <v>2234</v>
      </c>
      <c r="I186" s="12" t="s">
        <v>2065</v>
      </c>
      <c r="J186" t="s">
        <v>52</v>
      </c>
      <c r="K186">
        <v>3</v>
      </c>
      <c r="L186">
        <v>85</v>
      </c>
      <c r="M186">
        <v>169</v>
      </c>
    </row>
    <row r="187" spans="1:13">
      <c r="A187">
        <v>153</v>
      </c>
      <c r="B187" t="s">
        <v>2175</v>
      </c>
      <c r="C187">
        <v>19</v>
      </c>
      <c r="D187" t="s">
        <v>18</v>
      </c>
      <c r="E187">
        <v>2024</v>
      </c>
      <c r="F187" t="s">
        <v>2235</v>
      </c>
      <c r="G187" t="s">
        <v>2236</v>
      </c>
      <c r="H187" t="s">
        <v>2237</v>
      </c>
      <c r="I187" s="12" t="s">
        <v>2065</v>
      </c>
      <c r="J187" t="s">
        <v>52</v>
      </c>
      <c r="K187">
        <v>3</v>
      </c>
      <c r="L187">
        <v>85</v>
      </c>
      <c r="M187">
        <v>170</v>
      </c>
    </row>
    <row r="188" spans="1:13">
      <c r="A188">
        <v>154</v>
      </c>
      <c r="B188" t="s">
        <v>2176</v>
      </c>
      <c r="C188">
        <v>19</v>
      </c>
      <c r="D188" t="s">
        <v>18</v>
      </c>
      <c r="E188">
        <v>2024</v>
      </c>
      <c r="F188" t="s">
        <v>2238</v>
      </c>
      <c r="G188" t="s">
        <v>2239</v>
      </c>
      <c r="H188" t="s">
        <v>2240</v>
      </c>
      <c r="I188" s="12" t="s">
        <v>2065</v>
      </c>
      <c r="J188" t="s">
        <v>52</v>
      </c>
      <c r="K188">
        <v>3</v>
      </c>
      <c r="L188">
        <v>86</v>
      </c>
      <c r="M188">
        <v>171</v>
      </c>
    </row>
    <row r="189" spans="1:13">
      <c r="A189">
        <v>155</v>
      </c>
      <c r="B189" t="s">
        <v>2177</v>
      </c>
      <c r="C189">
        <v>19</v>
      </c>
      <c r="D189" t="s">
        <v>18</v>
      </c>
      <c r="E189">
        <v>2024</v>
      </c>
      <c r="F189" t="s">
        <v>2241</v>
      </c>
      <c r="G189" t="s">
        <v>2242</v>
      </c>
      <c r="H189" t="s">
        <v>2243</v>
      </c>
      <c r="I189" s="12" t="s">
        <v>2065</v>
      </c>
      <c r="J189" t="s">
        <v>52</v>
      </c>
      <c r="K189">
        <v>3</v>
      </c>
      <c r="L189">
        <v>86</v>
      </c>
      <c r="M189">
        <v>172</v>
      </c>
    </row>
    <row r="190" spans="1:13">
      <c r="A190">
        <v>156</v>
      </c>
      <c r="B190" t="s">
        <v>2178</v>
      </c>
      <c r="C190">
        <v>19</v>
      </c>
      <c r="D190" t="s">
        <v>18</v>
      </c>
      <c r="E190">
        <v>2024</v>
      </c>
      <c r="F190" t="s">
        <v>2372</v>
      </c>
      <c r="G190" t="s">
        <v>2244</v>
      </c>
      <c r="H190" t="s">
        <v>2245</v>
      </c>
      <c r="I190" s="12" t="s">
        <v>2065</v>
      </c>
      <c r="J190" t="s">
        <v>52</v>
      </c>
      <c r="K190">
        <v>3</v>
      </c>
      <c r="L190">
        <v>87</v>
      </c>
      <c r="M190">
        <v>173</v>
      </c>
    </row>
    <row r="191" spans="1:13">
      <c r="A191">
        <v>157</v>
      </c>
      <c r="B191" t="s">
        <v>2246</v>
      </c>
      <c r="C191">
        <v>19</v>
      </c>
      <c r="D191" t="s">
        <v>18</v>
      </c>
      <c r="E191">
        <v>2024</v>
      </c>
      <c r="F191" t="s">
        <v>2247</v>
      </c>
      <c r="G191" t="s">
        <v>2248</v>
      </c>
      <c r="H191" t="s">
        <v>2249</v>
      </c>
      <c r="I191" s="12" t="s">
        <v>2065</v>
      </c>
      <c r="J191" t="s">
        <v>52</v>
      </c>
      <c r="K191">
        <v>3</v>
      </c>
      <c r="L191">
        <v>87</v>
      </c>
      <c r="M191">
        <v>174</v>
      </c>
    </row>
    <row r="192" spans="1:13">
      <c r="A192">
        <v>158</v>
      </c>
      <c r="B192" t="s">
        <v>2179</v>
      </c>
      <c r="C192">
        <v>19</v>
      </c>
      <c r="D192" t="s">
        <v>18</v>
      </c>
      <c r="E192">
        <v>2024</v>
      </c>
      <c r="F192" t="s">
        <v>1851</v>
      </c>
      <c r="G192" t="s">
        <v>1852</v>
      </c>
      <c r="H192" t="s">
        <v>1853</v>
      </c>
      <c r="I192" s="12" t="s">
        <v>2065</v>
      </c>
      <c r="J192" t="s">
        <v>52</v>
      </c>
      <c r="K192">
        <v>3</v>
      </c>
      <c r="L192">
        <v>88</v>
      </c>
      <c r="M192">
        <v>175</v>
      </c>
    </row>
    <row r="193" spans="1:13">
      <c r="A193">
        <v>159</v>
      </c>
      <c r="B193" t="s">
        <v>2180</v>
      </c>
      <c r="C193">
        <v>19</v>
      </c>
      <c r="D193" t="s">
        <v>18</v>
      </c>
      <c r="E193">
        <v>2024</v>
      </c>
      <c r="F193" t="s">
        <v>2250</v>
      </c>
      <c r="G193" t="s">
        <v>2252</v>
      </c>
      <c r="H193" t="s">
        <v>2251</v>
      </c>
      <c r="I193" s="12" t="s">
        <v>2065</v>
      </c>
      <c r="J193" t="s">
        <v>52</v>
      </c>
      <c r="K193">
        <v>3</v>
      </c>
      <c r="L193">
        <v>88</v>
      </c>
      <c r="M193">
        <v>176</v>
      </c>
    </row>
    <row r="194" spans="1:13">
      <c r="A194">
        <v>160</v>
      </c>
      <c r="B194" t="s">
        <v>2181</v>
      </c>
      <c r="C194">
        <v>19</v>
      </c>
      <c r="D194" t="s">
        <v>18</v>
      </c>
      <c r="E194">
        <v>2024</v>
      </c>
      <c r="F194" t="s">
        <v>2253</v>
      </c>
      <c r="G194" t="s">
        <v>2254</v>
      </c>
      <c r="H194" t="s">
        <v>2255</v>
      </c>
      <c r="I194" s="12" t="s">
        <v>2065</v>
      </c>
      <c r="J194" t="s">
        <v>52</v>
      </c>
      <c r="K194">
        <v>3</v>
      </c>
      <c r="L194">
        <v>89</v>
      </c>
      <c r="M194">
        <v>177</v>
      </c>
    </row>
    <row r="195" spans="1:13">
      <c r="A195">
        <v>161</v>
      </c>
      <c r="B195" t="s">
        <v>2182</v>
      </c>
      <c r="C195">
        <v>19</v>
      </c>
      <c r="D195" t="s">
        <v>18</v>
      </c>
      <c r="E195">
        <v>2024</v>
      </c>
      <c r="F195" t="s">
        <v>2256</v>
      </c>
      <c r="G195" t="s">
        <v>2257</v>
      </c>
      <c r="H195" t="s">
        <v>2258</v>
      </c>
      <c r="I195" s="12" t="s">
        <v>2065</v>
      </c>
      <c r="J195" t="s">
        <v>52</v>
      </c>
      <c r="K195">
        <v>3</v>
      </c>
      <c r="L195">
        <v>89</v>
      </c>
      <c r="M195">
        <v>178</v>
      </c>
    </row>
    <row r="196" spans="1:13">
      <c r="A196">
        <v>162</v>
      </c>
      <c r="B196" t="s">
        <v>2184</v>
      </c>
      <c r="C196">
        <v>19</v>
      </c>
      <c r="D196" t="s">
        <v>18</v>
      </c>
      <c r="E196">
        <v>2024</v>
      </c>
      <c r="F196" t="s">
        <v>2259</v>
      </c>
      <c r="G196" t="s">
        <v>2260</v>
      </c>
      <c r="H196" t="s">
        <v>2343</v>
      </c>
      <c r="I196" s="12" t="s">
        <v>2065</v>
      </c>
      <c r="J196" t="s">
        <v>52</v>
      </c>
      <c r="K196">
        <v>3</v>
      </c>
      <c r="L196">
        <v>90</v>
      </c>
      <c r="M196">
        <v>179</v>
      </c>
    </row>
    <row r="197" spans="1:13">
      <c r="A197">
        <v>163</v>
      </c>
      <c r="B197" t="s">
        <v>2183</v>
      </c>
      <c r="C197">
        <v>19</v>
      </c>
      <c r="D197" t="s">
        <v>18</v>
      </c>
      <c r="E197">
        <v>2024</v>
      </c>
      <c r="F197" t="s">
        <v>2261</v>
      </c>
      <c r="G197" t="s">
        <v>2262</v>
      </c>
      <c r="H197" t="s">
        <v>2373</v>
      </c>
      <c r="I197" s="12" t="s">
        <v>2065</v>
      </c>
      <c r="J197" t="s">
        <v>52</v>
      </c>
      <c r="K197">
        <v>3</v>
      </c>
      <c r="L197">
        <v>90</v>
      </c>
      <c r="M197">
        <v>180</v>
      </c>
    </row>
    <row r="198" spans="1:13">
      <c r="A198">
        <v>164</v>
      </c>
      <c r="B198" t="s">
        <v>2341</v>
      </c>
      <c r="C198">
        <v>19</v>
      </c>
      <c r="D198" t="s">
        <v>18</v>
      </c>
      <c r="E198">
        <v>2024</v>
      </c>
      <c r="F198" t="s">
        <v>2263</v>
      </c>
      <c r="G198" t="s">
        <v>2264</v>
      </c>
      <c r="H198" t="s">
        <v>2265</v>
      </c>
      <c r="I198" s="12" t="s">
        <v>2065</v>
      </c>
      <c r="J198" t="s">
        <v>52</v>
      </c>
      <c r="K198">
        <v>3</v>
      </c>
      <c r="L198">
        <v>91</v>
      </c>
      <c r="M198">
        <v>181</v>
      </c>
    </row>
    <row r="199" spans="1:13">
      <c r="A199">
        <v>165</v>
      </c>
      <c r="B199" t="s">
        <v>2185</v>
      </c>
      <c r="C199">
        <v>19</v>
      </c>
      <c r="D199" t="s">
        <v>18</v>
      </c>
      <c r="E199">
        <v>2024</v>
      </c>
      <c r="F199" t="s">
        <v>1908</v>
      </c>
      <c r="G199" t="s">
        <v>1909</v>
      </c>
      <c r="H199" t="s">
        <v>2266</v>
      </c>
      <c r="I199" s="12" t="s">
        <v>2065</v>
      </c>
      <c r="J199" t="s">
        <v>52</v>
      </c>
      <c r="K199">
        <v>3</v>
      </c>
      <c r="L199">
        <v>91</v>
      </c>
      <c r="M199">
        <v>182</v>
      </c>
    </row>
    <row r="202" spans="1:13">
      <c r="B202" s="24" t="s">
        <v>2268</v>
      </c>
    </row>
    <row r="203" spans="1:13">
      <c r="B203" s="22" t="s">
        <v>31</v>
      </c>
      <c r="C203" s="110" t="s">
        <v>10</v>
      </c>
      <c r="D203" s="110" t="s">
        <v>11</v>
      </c>
      <c r="E203" s="110" t="s">
        <v>12</v>
      </c>
      <c r="F203" s="2" t="s">
        <v>27</v>
      </c>
      <c r="G203" s="2" t="s">
        <v>26</v>
      </c>
      <c r="H203" s="2" t="s">
        <v>28</v>
      </c>
      <c r="I203" s="2" t="s">
        <v>39</v>
      </c>
      <c r="J203" s="2" t="s">
        <v>24</v>
      </c>
      <c r="K203" s="2" t="s">
        <v>0</v>
      </c>
      <c r="L203" s="2" t="s">
        <v>1</v>
      </c>
      <c r="M203" s="2" t="s">
        <v>2</v>
      </c>
    </row>
    <row r="204" spans="1:13">
      <c r="A204">
        <v>166</v>
      </c>
      <c r="B204" t="s">
        <v>2278</v>
      </c>
      <c r="C204">
        <v>19</v>
      </c>
      <c r="D204" t="s">
        <v>18</v>
      </c>
      <c r="E204">
        <v>2024</v>
      </c>
      <c r="F204" t="s">
        <v>871</v>
      </c>
      <c r="G204" t="s">
        <v>897</v>
      </c>
      <c r="H204" t="s">
        <v>2336</v>
      </c>
      <c r="I204" s="12" t="s">
        <v>2065</v>
      </c>
      <c r="J204" t="s">
        <v>52</v>
      </c>
      <c r="K204">
        <v>3</v>
      </c>
      <c r="L204">
        <v>92</v>
      </c>
      <c r="M204">
        <v>183</v>
      </c>
    </row>
    <row r="205" spans="1:13">
      <c r="A205">
        <v>167</v>
      </c>
      <c r="B205" t="s">
        <v>2279</v>
      </c>
      <c r="C205">
        <v>19</v>
      </c>
      <c r="D205" t="s">
        <v>18</v>
      </c>
      <c r="E205">
        <v>2024</v>
      </c>
      <c r="F205" t="s">
        <v>2280</v>
      </c>
      <c r="G205" t="s">
        <v>2210</v>
      </c>
      <c r="H205" t="s">
        <v>1005</v>
      </c>
      <c r="I205" s="12" t="s">
        <v>2065</v>
      </c>
      <c r="J205" t="s">
        <v>52</v>
      </c>
      <c r="K205">
        <v>3</v>
      </c>
      <c r="L205">
        <v>92</v>
      </c>
      <c r="M205">
        <v>184</v>
      </c>
    </row>
    <row r="206" spans="1:13">
      <c r="A206">
        <v>168</v>
      </c>
      <c r="B206" t="s">
        <v>2281</v>
      </c>
      <c r="C206">
        <v>19</v>
      </c>
      <c r="D206" t="s">
        <v>18</v>
      </c>
      <c r="E206">
        <v>2024</v>
      </c>
      <c r="F206" t="s">
        <v>2282</v>
      </c>
      <c r="G206" t="s">
        <v>2283</v>
      </c>
      <c r="H206" t="s">
        <v>2284</v>
      </c>
      <c r="I206" s="12" t="s">
        <v>2065</v>
      </c>
      <c r="J206" t="s">
        <v>52</v>
      </c>
      <c r="K206">
        <v>3</v>
      </c>
      <c r="L206">
        <v>93</v>
      </c>
      <c r="M206">
        <v>185</v>
      </c>
    </row>
    <row r="207" spans="1:13">
      <c r="A207">
        <v>169</v>
      </c>
      <c r="B207" t="s">
        <v>2289</v>
      </c>
      <c r="C207">
        <v>19</v>
      </c>
      <c r="D207" t="s">
        <v>18</v>
      </c>
      <c r="E207">
        <v>2024</v>
      </c>
      <c r="F207" t="s">
        <v>2290</v>
      </c>
      <c r="G207" t="s">
        <v>2291</v>
      </c>
      <c r="H207" t="s">
        <v>2292</v>
      </c>
      <c r="I207" s="12" t="s">
        <v>2065</v>
      </c>
      <c r="J207" t="s">
        <v>52</v>
      </c>
      <c r="K207">
        <v>3</v>
      </c>
      <c r="L207">
        <v>93</v>
      </c>
      <c r="M207">
        <v>186</v>
      </c>
    </row>
    <row r="208" spans="1:13">
      <c r="A208">
        <v>170</v>
      </c>
      <c r="B208" t="s">
        <v>2293</v>
      </c>
      <c r="C208">
        <v>19</v>
      </c>
      <c r="D208" t="s">
        <v>18</v>
      </c>
      <c r="E208">
        <v>2024</v>
      </c>
      <c r="F208" t="s">
        <v>2294</v>
      </c>
      <c r="G208" t="s">
        <v>2295</v>
      </c>
      <c r="H208" t="s">
        <v>2296</v>
      </c>
      <c r="I208" s="12" t="s">
        <v>2065</v>
      </c>
      <c r="J208" t="s">
        <v>52</v>
      </c>
      <c r="K208">
        <v>3</v>
      </c>
      <c r="L208">
        <v>94</v>
      </c>
      <c r="M208">
        <v>187</v>
      </c>
    </row>
    <row r="209" spans="1:13">
      <c r="A209">
        <v>171</v>
      </c>
      <c r="B209" t="s">
        <v>2297</v>
      </c>
      <c r="C209">
        <v>19</v>
      </c>
      <c r="D209" t="s">
        <v>18</v>
      </c>
      <c r="E209">
        <v>2024</v>
      </c>
      <c r="F209" t="s">
        <v>2298</v>
      </c>
      <c r="G209" t="s">
        <v>2342</v>
      </c>
      <c r="H209" t="s">
        <v>2299</v>
      </c>
      <c r="I209" s="12" t="s">
        <v>2065</v>
      </c>
      <c r="J209" t="s">
        <v>52</v>
      </c>
      <c r="K209">
        <v>3</v>
      </c>
      <c r="L209">
        <v>94</v>
      </c>
      <c r="M209">
        <v>188</v>
      </c>
    </row>
    <row r="210" spans="1:13">
      <c r="A210">
        <v>172</v>
      </c>
      <c r="B210" t="s">
        <v>2300</v>
      </c>
      <c r="C210">
        <v>19</v>
      </c>
      <c r="D210" t="s">
        <v>18</v>
      </c>
      <c r="E210">
        <v>2024</v>
      </c>
      <c r="F210" t="s">
        <v>2301</v>
      </c>
      <c r="G210" t="s">
        <v>2302</v>
      </c>
      <c r="H210" t="s">
        <v>882</v>
      </c>
      <c r="I210" s="12" t="s">
        <v>2065</v>
      </c>
      <c r="J210" t="s">
        <v>52</v>
      </c>
      <c r="K210">
        <v>3</v>
      </c>
      <c r="L210">
        <v>95</v>
      </c>
      <c r="M210">
        <v>189</v>
      </c>
    </row>
    <row r="211" spans="1:13">
      <c r="A211">
        <v>173</v>
      </c>
      <c r="B211" t="s">
        <v>2303</v>
      </c>
      <c r="C211">
        <v>19</v>
      </c>
      <c r="D211" t="s">
        <v>18</v>
      </c>
      <c r="E211">
        <v>2024</v>
      </c>
      <c r="F211" t="s">
        <v>615</v>
      </c>
      <c r="G211" t="s">
        <v>616</v>
      </c>
      <c r="H211" t="s">
        <v>2304</v>
      </c>
      <c r="I211" s="12" t="s">
        <v>2065</v>
      </c>
      <c r="J211" t="s">
        <v>52</v>
      </c>
      <c r="K211">
        <v>3</v>
      </c>
      <c r="L211">
        <v>95</v>
      </c>
      <c r="M211">
        <v>190</v>
      </c>
    </row>
    <row r="212" spans="1:13">
      <c r="A212">
        <v>174</v>
      </c>
      <c r="B212" t="s">
        <v>2305</v>
      </c>
      <c r="C212">
        <v>19</v>
      </c>
      <c r="D212" t="s">
        <v>18</v>
      </c>
      <c r="E212">
        <v>2024</v>
      </c>
      <c r="F212" t="s">
        <v>1754</v>
      </c>
      <c r="G212" t="s">
        <v>1755</v>
      </c>
      <c r="H212" t="s">
        <v>2337</v>
      </c>
      <c r="I212" s="12" t="s">
        <v>2065</v>
      </c>
      <c r="J212" t="s">
        <v>52</v>
      </c>
      <c r="K212">
        <v>3</v>
      </c>
      <c r="L212">
        <v>96</v>
      </c>
      <c r="M212">
        <v>191</v>
      </c>
    </row>
    <row r="213" spans="1:13">
      <c r="A213">
        <v>175</v>
      </c>
      <c r="B213" t="s">
        <v>2306</v>
      </c>
      <c r="C213">
        <v>19</v>
      </c>
      <c r="D213" t="s">
        <v>18</v>
      </c>
      <c r="E213">
        <v>2024</v>
      </c>
      <c r="F213" t="s">
        <v>2307</v>
      </c>
      <c r="G213" t="s">
        <v>2308</v>
      </c>
      <c r="H213" t="s">
        <v>2309</v>
      </c>
      <c r="I213" s="12" t="s">
        <v>2065</v>
      </c>
      <c r="J213" t="s">
        <v>52</v>
      </c>
      <c r="K213">
        <v>3</v>
      </c>
      <c r="L213">
        <v>96</v>
      </c>
      <c r="M213">
        <v>192</v>
      </c>
    </row>
    <row r="214" spans="1:13">
      <c r="A214">
        <v>176</v>
      </c>
      <c r="B214" t="s">
        <v>2310</v>
      </c>
      <c r="C214">
        <v>19</v>
      </c>
      <c r="D214" t="s">
        <v>18</v>
      </c>
      <c r="E214">
        <v>2024</v>
      </c>
      <c r="F214" t="s">
        <v>1413</v>
      </c>
      <c r="G214" t="s">
        <v>1360</v>
      </c>
      <c r="H214" t="s">
        <v>2311</v>
      </c>
      <c r="I214" s="12" t="s">
        <v>2065</v>
      </c>
      <c r="J214" t="s">
        <v>52</v>
      </c>
      <c r="K214">
        <v>3</v>
      </c>
      <c r="L214">
        <v>97</v>
      </c>
      <c r="M214">
        <v>193</v>
      </c>
    </row>
    <row r="215" spans="1:13">
      <c r="A215">
        <v>177</v>
      </c>
      <c r="B215" t="s">
        <v>2312</v>
      </c>
      <c r="C215">
        <v>19</v>
      </c>
      <c r="D215" t="s">
        <v>18</v>
      </c>
      <c r="E215">
        <v>2024</v>
      </c>
      <c r="F215" t="s">
        <v>2282</v>
      </c>
      <c r="G215" t="s">
        <v>2283</v>
      </c>
      <c r="H215" t="s">
        <v>2318</v>
      </c>
      <c r="I215" s="12" t="s">
        <v>2065</v>
      </c>
      <c r="J215" t="s">
        <v>52</v>
      </c>
      <c r="K215">
        <v>3</v>
      </c>
      <c r="L215">
        <v>97</v>
      </c>
      <c r="M215">
        <v>194</v>
      </c>
    </row>
    <row r="216" spans="1:13">
      <c r="A216">
        <v>178</v>
      </c>
      <c r="B216" t="s">
        <v>2313</v>
      </c>
      <c r="C216">
        <v>19</v>
      </c>
      <c r="D216" t="s">
        <v>18</v>
      </c>
      <c r="E216">
        <v>2024</v>
      </c>
      <c r="F216" t="s">
        <v>2319</v>
      </c>
      <c r="G216" t="s">
        <v>2320</v>
      </c>
      <c r="H216" t="s">
        <v>2321</v>
      </c>
      <c r="I216" s="12" t="s">
        <v>2065</v>
      </c>
      <c r="J216" t="s">
        <v>52</v>
      </c>
      <c r="K216">
        <v>3</v>
      </c>
      <c r="L216">
        <v>98</v>
      </c>
      <c r="M216">
        <v>195</v>
      </c>
    </row>
    <row r="217" spans="1:13">
      <c r="A217">
        <v>179</v>
      </c>
      <c r="B217" t="s">
        <v>2314</v>
      </c>
      <c r="C217">
        <v>19</v>
      </c>
      <c r="D217" t="s">
        <v>18</v>
      </c>
      <c r="E217">
        <v>2024</v>
      </c>
      <c r="F217" t="s">
        <v>2322</v>
      </c>
      <c r="G217" t="s">
        <v>2323</v>
      </c>
      <c r="H217" t="s">
        <v>2324</v>
      </c>
      <c r="I217" s="12" t="s">
        <v>2065</v>
      </c>
      <c r="J217" t="s">
        <v>52</v>
      </c>
      <c r="K217">
        <v>3</v>
      </c>
      <c r="L217">
        <v>98</v>
      </c>
      <c r="M217">
        <v>196</v>
      </c>
    </row>
    <row r="218" spans="1:13">
      <c r="A218">
        <v>180</v>
      </c>
      <c r="B218" t="s">
        <v>2374</v>
      </c>
      <c r="C218">
        <v>19</v>
      </c>
      <c r="D218" t="s">
        <v>18</v>
      </c>
      <c r="E218">
        <v>2024</v>
      </c>
      <c r="F218" t="s">
        <v>2325</v>
      </c>
      <c r="G218" t="s">
        <v>2326</v>
      </c>
      <c r="H218" t="s">
        <v>2445</v>
      </c>
      <c r="I218" s="12" t="s">
        <v>2065</v>
      </c>
      <c r="J218" t="s">
        <v>52</v>
      </c>
      <c r="K218">
        <v>3</v>
      </c>
      <c r="L218">
        <v>99</v>
      </c>
      <c r="M218">
        <v>197</v>
      </c>
    </row>
    <row r="219" spans="1:13">
      <c r="A219">
        <v>181</v>
      </c>
      <c r="B219" t="s">
        <v>2315</v>
      </c>
      <c r="C219">
        <v>19</v>
      </c>
      <c r="D219" t="s">
        <v>18</v>
      </c>
      <c r="E219">
        <v>2024</v>
      </c>
      <c r="F219" s="12" t="s">
        <v>2327</v>
      </c>
      <c r="G219" s="12" t="s">
        <v>2328</v>
      </c>
      <c r="H219" s="12" t="s">
        <v>2329</v>
      </c>
      <c r="I219" s="12" t="s">
        <v>2065</v>
      </c>
      <c r="J219" t="s">
        <v>52</v>
      </c>
      <c r="K219">
        <v>3</v>
      </c>
      <c r="L219">
        <v>99</v>
      </c>
      <c r="M219">
        <v>198</v>
      </c>
    </row>
    <row r="220" spans="1:13">
      <c r="A220">
        <v>182</v>
      </c>
      <c r="B220" t="s">
        <v>2316</v>
      </c>
      <c r="C220">
        <v>19</v>
      </c>
      <c r="D220" t="s">
        <v>18</v>
      </c>
      <c r="E220">
        <v>2024</v>
      </c>
      <c r="F220" s="12" t="s">
        <v>2330</v>
      </c>
      <c r="G220" s="12" t="s">
        <v>2331</v>
      </c>
      <c r="H220" s="12" t="s">
        <v>1646</v>
      </c>
      <c r="I220" s="12" t="s">
        <v>2065</v>
      </c>
      <c r="J220" t="s">
        <v>52</v>
      </c>
      <c r="K220">
        <v>3</v>
      </c>
      <c r="L220">
        <v>100</v>
      </c>
      <c r="M220">
        <v>199</v>
      </c>
    </row>
    <row r="221" spans="1:13" ht="11.25" customHeight="1">
      <c r="A221">
        <v>183</v>
      </c>
      <c r="B221" t="s">
        <v>2317</v>
      </c>
      <c r="C221">
        <v>19</v>
      </c>
      <c r="D221" t="s">
        <v>18</v>
      </c>
      <c r="E221">
        <v>2024</v>
      </c>
      <c r="F221" s="12" t="s">
        <v>2332</v>
      </c>
      <c r="G221" s="12" t="s">
        <v>2333</v>
      </c>
      <c r="H221" s="12" t="s">
        <v>2334</v>
      </c>
      <c r="I221" s="12" t="s">
        <v>2065</v>
      </c>
      <c r="J221" t="s">
        <v>52</v>
      </c>
      <c r="K221">
        <v>3</v>
      </c>
      <c r="L221">
        <v>100</v>
      </c>
      <c r="M221">
        <v>200</v>
      </c>
    </row>
    <row r="222" spans="1:13" ht="11.25" customHeight="1">
      <c r="F222" s="12"/>
      <c r="G222" s="12"/>
      <c r="H222" s="12"/>
      <c r="I222" s="12"/>
    </row>
    <row r="223" spans="1:13" ht="20.25">
      <c r="B223" s="21" t="s">
        <v>2606</v>
      </c>
    </row>
    <row r="224" spans="1:13" ht="20.25" customHeight="1">
      <c r="B224" s="72" t="s">
        <v>3269</v>
      </c>
    </row>
    <row r="225" spans="1:13" ht="12.75" customHeight="1">
      <c r="B225" s="24" t="s">
        <v>3270</v>
      </c>
    </row>
    <row r="226" spans="1:13">
      <c r="B226" s="22" t="s">
        <v>3455</v>
      </c>
      <c r="C226" s="112" t="s">
        <v>10</v>
      </c>
      <c r="D226" s="112" t="s">
        <v>11</v>
      </c>
      <c r="E226" s="112" t="s">
        <v>12</v>
      </c>
      <c r="F226" s="2" t="s">
        <v>27</v>
      </c>
      <c r="G226" s="2" t="s">
        <v>26</v>
      </c>
      <c r="H226" s="2" t="s">
        <v>28</v>
      </c>
      <c r="I226" s="2" t="s">
        <v>39</v>
      </c>
      <c r="J226" s="2" t="s">
        <v>24</v>
      </c>
      <c r="K226" s="2" t="s">
        <v>0</v>
      </c>
      <c r="L226" s="2" t="s">
        <v>1</v>
      </c>
      <c r="M226" s="2" t="s">
        <v>2</v>
      </c>
    </row>
    <row r="227" spans="1:13">
      <c r="A227">
        <v>184</v>
      </c>
      <c r="B227" s="12" t="s">
        <v>2597</v>
      </c>
      <c r="C227">
        <v>19</v>
      </c>
      <c r="D227" s="12" t="s">
        <v>16</v>
      </c>
      <c r="E227">
        <v>2025</v>
      </c>
      <c r="F227" t="s">
        <v>2616</v>
      </c>
      <c r="G227" t="s">
        <v>2617</v>
      </c>
      <c r="H227" s="12" t="s">
        <v>2607</v>
      </c>
      <c r="I227" t="s">
        <v>1062</v>
      </c>
      <c r="J227" t="s">
        <v>52</v>
      </c>
      <c r="K227">
        <v>3</v>
      </c>
      <c r="L227">
        <v>101</v>
      </c>
      <c r="M227">
        <v>201</v>
      </c>
    </row>
    <row r="228" spans="1:13">
      <c r="A228">
        <v>185</v>
      </c>
      <c r="B228" s="12" t="s">
        <v>2598</v>
      </c>
      <c r="C228">
        <v>19</v>
      </c>
      <c r="D228" s="12" t="s">
        <v>16</v>
      </c>
      <c r="E228">
        <v>2025</v>
      </c>
      <c r="F228" t="s">
        <v>2600</v>
      </c>
      <c r="G228" t="s">
        <v>2601</v>
      </c>
      <c r="H228" t="s">
        <v>2613</v>
      </c>
      <c r="I228" t="s">
        <v>1062</v>
      </c>
      <c r="J228" t="s">
        <v>52</v>
      </c>
      <c r="K228">
        <v>3</v>
      </c>
      <c r="L228">
        <v>101</v>
      </c>
      <c r="M228">
        <v>202</v>
      </c>
    </row>
    <row r="229" spans="1:13">
      <c r="A229">
        <v>186</v>
      </c>
      <c r="B229" s="12" t="s">
        <v>2605</v>
      </c>
      <c r="C229">
        <v>19</v>
      </c>
      <c r="D229" s="12" t="s">
        <v>16</v>
      </c>
      <c r="E229">
        <v>2025</v>
      </c>
      <c r="F229" t="s">
        <v>2603</v>
      </c>
      <c r="G229" t="s">
        <v>2604</v>
      </c>
      <c r="H229" t="s">
        <v>2614</v>
      </c>
      <c r="I229" t="s">
        <v>1062</v>
      </c>
      <c r="J229" t="s">
        <v>52</v>
      </c>
      <c r="K229">
        <v>3</v>
      </c>
      <c r="L229">
        <v>102</v>
      </c>
      <c r="M229">
        <v>203</v>
      </c>
    </row>
    <row r="230" spans="1:13">
      <c r="B230" s="12"/>
      <c r="D230" s="12"/>
    </row>
    <row r="231" spans="1:13" ht="17.25" customHeight="1">
      <c r="B231" s="24" t="s">
        <v>3272</v>
      </c>
    </row>
    <row r="232" spans="1:13">
      <c r="B232" s="22" t="s">
        <v>31</v>
      </c>
      <c r="C232" s="128" t="s">
        <v>10</v>
      </c>
      <c r="D232" s="128" t="s">
        <v>11</v>
      </c>
      <c r="E232" s="128" t="s">
        <v>12</v>
      </c>
      <c r="F232" s="2" t="s">
        <v>27</v>
      </c>
      <c r="G232" s="2" t="s">
        <v>26</v>
      </c>
      <c r="H232" s="2" t="s">
        <v>28</v>
      </c>
      <c r="I232" s="2" t="s">
        <v>39</v>
      </c>
      <c r="J232" s="2" t="s">
        <v>24</v>
      </c>
      <c r="K232" s="2" t="s">
        <v>0</v>
      </c>
      <c r="L232" s="2" t="s">
        <v>1</v>
      </c>
      <c r="M232" s="2" t="s">
        <v>2</v>
      </c>
    </row>
    <row r="233" spans="1:13">
      <c r="A233">
        <v>187</v>
      </c>
      <c r="B233" t="s">
        <v>3209</v>
      </c>
      <c r="C233">
        <v>13</v>
      </c>
      <c r="D233" t="s">
        <v>18</v>
      </c>
      <c r="E233">
        <v>2025</v>
      </c>
      <c r="F233" t="s">
        <v>3210</v>
      </c>
      <c r="G233" t="s">
        <v>1029</v>
      </c>
      <c r="H233" t="s">
        <v>3211</v>
      </c>
      <c r="I233" t="s">
        <v>3416</v>
      </c>
      <c r="J233" t="s">
        <v>52</v>
      </c>
      <c r="K233">
        <v>3</v>
      </c>
      <c r="L233">
        <v>102</v>
      </c>
      <c r="M233">
        <v>204</v>
      </c>
    </row>
    <row r="234" spans="1:13">
      <c r="A234">
        <v>188</v>
      </c>
      <c r="B234" t="s">
        <v>3212</v>
      </c>
      <c r="C234">
        <v>13</v>
      </c>
      <c r="D234" t="s">
        <v>18</v>
      </c>
      <c r="E234">
        <v>2025</v>
      </c>
      <c r="F234" t="s">
        <v>3213</v>
      </c>
      <c r="G234" t="s">
        <v>3214</v>
      </c>
      <c r="H234" t="s">
        <v>3215</v>
      </c>
      <c r="I234" t="s">
        <v>3416</v>
      </c>
      <c r="J234" t="s">
        <v>52</v>
      </c>
      <c r="K234">
        <v>3</v>
      </c>
      <c r="L234">
        <v>103</v>
      </c>
      <c r="M234">
        <v>205</v>
      </c>
    </row>
    <row r="235" spans="1:13">
      <c r="A235">
        <v>189</v>
      </c>
      <c r="B235" t="s">
        <v>3216</v>
      </c>
      <c r="C235">
        <v>13</v>
      </c>
      <c r="D235" t="s">
        <v>18</v>
      </c>
      <c r="E235">
        <v>2025</v>
      </c>
      <c r="F235" t="s">
        <v>3217</v>
      </c>
      <c r="G235" t="s">
        <v>3218</v>
      </c>
      <c r="H235" t="s">
        <v>3219</v>
      </c>
      <c r="I235" t="s">
        <v>3416</v>
      </c>
      <c r="J235" t="s">
        <v>52</v>
      </c>
      <c r="K235">
        <v>3</v>
      </c>
      <c r="L235">
        <v>103</v>
      </c>
      <c r="M235">
        <v>206</v>
      </c>
    </row>
    <row r="236" spans="1:13">
      <c r="A236">
        <v>190</v>
      </c>
      <c r="B236" t="s">
        <v>3220</v>
      </c>
      <c r="C236">
        <v>13</v>
      </c>
      <c r="D236" t="s">
        <v>18</v>
      </c>
      <c r="E236">
        <v>2025</v>
      </c>
      <c r="F236" t="s">
        <v>3221</v>
      </c>
      <c r="G236" t="s">
        <v>3222</v>
      </c>
      <c r="H236" t="s">
        <v>3223</v>
      </c>
      <c r="I236" t="s">
        <v>3416</v>
      </c>
      <c r="J236" t="s">
        <v>52</v>
      </c>
      <c r="K236">
        <v>3</v>
      </c>
      <c r="L236">
        <v>104</v>
      </c>
      <c r="M236">
        <v>207</v>
      </c>
    </row>
    <row r="237" spans="1:13">
      <c r="A237">
        <v>191</v>
      </c>
      <c r="B237" t="s">
        <v>2932</v>
      </c>
      <c r="C237">
        <v>13</v>
      </c>
      <c r="D237" t="s">
        <v>18</v>
      </c>
      <c r="E237">
        <v>2025</v>
      </c>
      <c r="F237" t="s">
        <v>3224</v>
      </c>
      <c r="G237" t="s">
        <v>2964</v>
      </c>
      <c r="H237" t="s">
        <v>3013</v>
      </c>
      <c r="I237" t="s">
        <v>3416</v>
      </c>
      <c r="J237" t="s">
        <v>52</v>
      </c>
      <c r="K237">
        <v>3</v>
      </c>
      <c r="L237">
        <v>104</v>
      </c>
      <c r="M237">
        <v>208</v>
      </c>
    </row>
    <row r="238" spans="1:13">
      <c r="A238">
        <v>192</v>
      </c>
      <c r="B238" t="s">
        <v>3225</v>
      </c>
      <c r="C238">
        <v>13</v>
      </c>
      <c r="D238" t="s">
        <v>18</v>
      </c>
      <c r="E238">
        <v>2025</v>
      </c>
      <c r="F238" t="s">
        <v>3226</v>
      </c>
      <c r="G238" t="s">
        <v>3227</v>
      </c>
      <c r="H238" t="s">
        <v>3613</v>
      </c>
      <c r="I238" t="s">
        <v>3416</v>
      </c>
      <c r="J238" t="s">
        <v>52</v>
      </c>
      <c r="K238">
        <v>3</v>
      </c>
      <c r="L238">
        <v>105</v>
      </c>
      <c r="M238">
        <v>209</v>
      </c>
    </row>
    <row r="239" spans="1:13">
      <c r="A239">
        <v>193</v>
      </c>
      <c r="B239" t="s">
        <v>1423</v>
      </c>
      <c r="C239">
        <v>13</v>
      </c>
      <c r="D239" t="s">
        <v>18</v>
      </c>
      <c r="E239">
        <v>2025</v>
      </c>
      <c r="F239" t="s">
        <v>1446</v>
      </c>
      <c r="G239" t="s">
        <v>1447</v>
      </c>
      <c r="H239" t="s">
        <v>3228</v>
      </c>
      <c r="I239" t="s">
        <v>3416</v>
      </c>
      <c r="J239" t="s">
        <v>52</v>
      </c>
      <c r="K239">
        <v>3</v>
      </c>
      <c r="L239">
        <v>105</v>
      </c>
      <c r="M239">
        <v>210</v>
      </c>
    </row>
    <row r="240" spans="1:13">
      <c r="A240">
        <v>194</v>
      </c>
      <c r="B240" t="s">
        <v>3229</v>
      </c>
      <c r="C240">
        <v>13</v>
      </c>
      <c r="D240" t="s">
        <v>18</v>
      </c>
      <c r="E240">
        <v>2025</v>
      </c>
      <c r="F240" t="s">
        <v>3221</v>
      </c>
      <c r="G240" t="s">
        <v>3222</v>
      </c>
      <c r="H240" t="s">
        <v>3230</v>
      </c>
      <c r="I240" t="s">
        <v>3416</v>
      </c>
      <c r="J240" t="s">
        <v>52</v>
      </c>
      <c r="K240">
        <v>3</v>
      </c>
      <c r="L240">
        <v>106</v>
      </c>
      <c r="M240">
        <v>211</v>
      </c>
    </row>
    <row r="241" spans="1:13">
      <c r="A241">
        <v>195</v>
      </c>
      <c r="B241" t="s">
        <v>3231</v>
      </c>
      <c r="C241">
        <v>13</v>
      </c>
      <c r="D241" t="s">
        <v>18</v>
      </c>
      <c r="E241">
        <v>2025</v>
      </c>
      <c r="F241" t="s">
        <v>3232</v>
      </c>
      <c r="G241" t="s">
        <v>3233</v>
      </c>
      <c r="H241" t="s">
        <v>3545</v>
      </c>
      <c r="I241" t="s">
        <v>3416</v>
      </c>
      <c r="J241" t="s">
        <v>52</v>
      </c>
      <c r="K241">
        <v>3</v>
      </c>
      <c r="L241">
        <v>106</v>
      </c>
      <c r="M241">
        <v>212</v>
      </c>
    </row>
    <row r="242" spans="1:13">
      <c r="A242">
        <v>196</v>
      </c>
      <c r="B242" t="s">
        <v>3234</v>
      </c>
      <c r="C242">
        <v>13</v>
      </c>
      <c r="D242" t="s">
        <v>18</v>
      </c>
      <c r="E242">
        <v>2025</v>
      </c>
      <c r="F242" t="s">
        <v>3235</v>
      </c>
      <c r="G242" t="s">
        <v>3236</v>
      </c>
      <c r="H242" t="s">
        <v>3237</v>
      </c>
      <c r="I242" t="s">
        <v>3416</v>
      </c>
      <c r="J242" t="s">
        <v>52</v>
      </c>
      <c r="K242">
        <v>3</v>
      </c>
      <c r="L242">
        <v>107</v>
      </c>
      <c r="M242">
        <v>213</v>
      </c>
    </row>
    <row r="243" spans="1:13">
      <c r="A243">
        <v>197</v>
      </c>
      <c r="B243" t="s">
        <v>3238</v>
      </c>
      <c r="C243">
        <v>13</v>
      </c>
      <c r="D243" t="s">
        <v>18</v>
      </c>
      <c r="E243">
        <v>2025</v>
      </c>
      <c r="F243" t="s">
        <v>3239</v>
      </c>
      <c r="G243" t="s">
        <v>3240</v>
      </c>
      <c r="H243" t="s">
        <v>3241</v>
      </c>
      <c r="I243" t="s">
        <v>3416</v>
      </c>
      <c r="J243" t="s">
        <v>52</v>
      </c>
      <c r="K243">
        <v>3</v>
      </c>
      <c r="L243">
        <v>107</v>
      </c>
      <c r="M243">
        <v>214</v>
      </c>
    </row>
    <row r="244" spans="1:13">
      <c r="A244">
        <v>198</v>
      </c>
      <c r="B244" t="s">
        <v>3242</v>
      </c>
      <c r="C244">
        <v>13</v>
      </c>
      <c r="D244" t="s">
        <v>18</v>
      </c>
      <c r="E244">
        <v>2025</v>
      </c>
      <c r="F244" t="s">
        <v>3243</v>
      </c>
      <c r="G244" t="s">
        <v>3244</v>
      </c>
      <c r="H244" t="s">
        <v>3245</v>
      </c>
      <c r="I244" t="s">
        <v>3416</v>
      </c>
      <c r="J244" t="s">
        <v>52</v>
      </c>
      <c r="K244">
        <v>3</v>
      </c>
      <c r="L244">
        <v>108</v>
      </c>
      <c r="M244">
        <v>215</v>
      </c>
    </row>
    <row r="245" spans="1:13">
      <c r="A245">
        <v>199</v>
      </c>
      <c r="B245" t="s">
        <v>3246</v>
      </c>
      <c r="C245">
        <v>13</v>
      </c>
      <c r="D245" t="s">
        <v>18</v>
      </c>
      <c r="E245">
        <v>2025</v>
      </c>
      <c r="F245" t="s">
        <v>3247</v>
      </c>
      <c r="G245" t="s">
        <v>3248</v>
      </c>
      <c r="H245" t="s">
        <v>3249</v>
      </c>
      <c r="I245" t="s">
        <v>3416</v>
      </c>
      <c r="J245" t="s">
        <v>52</v>
      </c>
      <c r="K245">
        <v>3</v>
      </c>
      <c r="L245">
        <v>108</v>
      </c>
      <c r="M245">
        <v>216</v>
      </c>
    </row>
    <row r="246" spans="1:13">
      <c r="A246">
        <v>200</v>
      </c>
      <c r="B246" t="s">
        <v>3250</v>
      </c>
      <c r="C246">
        <v>13</v>
      </c>
      <c r="D246" t="s">
        <v>18</v>
      </c>
      <c r="E246">
        <v>2025</v>
      </c>
      <c r="F246" t="s">
        <v>3251</v>
      </c>
      <c r="G246" t="s">
        <v>3252</v>
      </c>
      <c r="H246" t="s">
        <v>3253</v>
      </c>
      <c r="I246" t="s">
        <v>3416</v>
      </c>
      <c r="J246" t="s">
        <v>52</v>
      </c>
      <c r="K246">
        <v>3</v>
      </c>
      <c r="L246">
        <v>109</v>
      </c>
      <c r="M246">
        <v>217</v>
      </c>
    </row>
    <row r="247" spans="1:13">
      <c r="A247">
        <v>201</v>
      </c>
      <c r="B247" t="s">
        <v>3254</v>
      </c>
      <c r="C247">
        <v>13</v>
      </c>
      <c r="D247" t="s">
        <v>18</v>
      </c>
      <c r="E247">
        <v>2025</v>
      </c>
      <c r="F247" t="s">
        <v>3255</v>
      </c>
      <c r="G247" t="s">
        <v>3256</v>
      </c>
      <c r="H247" t="s">
        <v>3257</v>
      </c>
      <c r="I247" t="s">
        <v>3416</v>
      </c>
      <c r="J247" t="s">
        <v>52</v>
      </c>
      <c r="K247">
        <v>3</v>
      </c>
      <c r="L247">
        <v>109</v>
      </c>
      <c r="M247">
        <v>218</v>
      </c>
    </row>
    <row r="248" spans="1:13">
      <c r="A248">
        <v>202</v>
      </c>
      <c r="B248" t="s">
        <v>3258</v>
      </c>
      <c r="C248">
        <v>13</v>
      </c>
      <c r="D248" t="s">
        <v>18</v>
      </c>
      <c r="E248">
        <v>2025</v>
      </c>
      <c r="F248" t="s">
        <v>3259</v>
      </c>
      <c r="G248" t="s">
        <v>3260</v>
      </c>
      <c r="H248" t="s">
        <v>3261</v>
      </c>
      <c r="I248" t="s">
        <v>3416</v>
      </c>
      <c r="J248" t="s">
        <v>52</v>
      </c>
      <c r="K248">
        <v>3</v>
      </c>
      <c r="L248">
        <v>110</v>
      </c>
      <c r="M248">
        <v>219</v>
      </c>
    </row>
    <row r="249" spans="1:13">
      <c r="A249">
        <v>203</v>
      </c>
      <c r="B249" t="s">
        <v>3262</v>
      </c>
      <c r="C249">
        <v>13</v>
      </c>
      <c r="D249" t="s">
        <v>18</v>
      </c>
      <c r="E249">
        <v>2025</v>
      </c>
      <c r="F249" t="s">
        <v>3263</v>
      </c>
      <c r="G249" t="s">
        <v>3222</v>
      </c>
      <c r="H249" t="s">
        <v>3264</v>
      </c>
      <c r="I249" t="s">
        <v>3416</v>
      </c>
      <c r="J249" t="s">
        <v>52</v>
      </c>
      <c r="K249">
        <v>3</v>
      </c>
      <c r="L249">
        <v>110</v>
      </c>
      <c r="M249">
        <v>220</v>
      </c>
    </row>
    <row r="250" spans="1:13">
      <c r="A250">
        <v>204</v>
      </c>
      <c r="B250" t="s">
        <v>3265</v>
      </c>
      <c r="C250">
        <v>13</v>
      </c>
      <c r="D250" t="s">
        <v>18</v>
      </c>
      <c r="E250">
        <v>2025</v>
      </c>
      <c r="F250" t="s">
        <v>3266</v>
      </c>
      <c r="G250" t="s">
        <v>3267</v>
      </c>
      <c r="H250" t="s">
        <v>3268</v>
      </c>
      <c r="K250">
        <v>3</v>
      </c>
      <c r="L250">
        <v>111</v>
      </c>
      <c r="M250">
        <v>221</v>
      </c>
    </row>
    <row r="251" spans="1:13" ht="12.75" customHeight="1"/>
    <row r="252" spans="1:13" ht="17.25" customHeight="1">
      <c r="B252" s="24" t="s">
        <v>3273</v>
      </c>
    </row>
    <row r="253" spans="1:13">
      <c r="B253" s="22" t="s">
        <v>31</v>
      </c>
      <c r="C253" s="128" t="s">
        <v>10</v>
      </c>
      <c r="D253" s="128" t="s">
        <v>11</v>
      </c>
      <c r="E253" s="128" t="s">
        <v>12</v>
      </c>
      <c r="F253" s="2" t="s">
        <v>27</v>
      </c>
      <c r="G253" s="2" t="s">
        <v>26</v>
      </c>
      <c r="H253" s="2" t="s">
        <v>28</v>
      </c>
      <c r="I253" s="2" t="s">
        <v>39</v>
      </c>
      <c r="J253" s="2" t="s">
        <v>24</v>
      </c>
      <c r="K253" s="2" t="s">
        <v>0</v>
      </c>
      <c r="L253" s="2" t="s">
        <v>1</v>
      </c>
      <c r="M253" s="2" t="s">
        <v>2</v>
      </c>
    </row>
    <row r="254" spans="1:13">
      <c r="A254">
        <v>205</v>
      </c>
      <c r="B254" t="s">
        <v>3274</v>
      </c>
      <c r="C254">
        <v>13</v>
      </c>
      <c r="D254" t="s">
        <v>18</v>
      </c>
      <c r="E254">
        <v>2025</v>
      </c>
      <c r="F254" t="s">
        <v>3275</v>
      </c>
      <c r="G254" t="s">
        <v>3276</v>
      </c>
      <c r="H254" t="s">
        <v>3277</v>
      </c>
      <c r="I254" t="s">
        <v>3416</v>
      </c>
      <c r="J254" t="s">
        <v>52</v>
      </c>
      <c r="K254">
        <v>3</v>
      </c>
      <c r="L254">
        <v>111</v>
      </c>
      <c r="M254">
        <v>222</v>
      </c>
    </row>
    <row r="255" spans="1:13">
      <c r="A255">
        <v>206</v>
      </c>
      <c r="B255" t="s">
        <v>3278</v>
      </c>
      <c r="C255">
        <v>13</v>
      </c>
      <c r="D255" t="s">
        <v>18</v>
      </c>
      <c r="E255">
        <v>2025</v>
      </c>
      <c r="F255" t="s">
        <v>1098</v>
      </c>
      <c r="G255" t="s">
        <v>1099</v>
      </c>
      <c r="H255" t="s">
        <v>3279</v>
      </c>
      <c r="I255" t="s">
        <v>3416</v>
      </c>
      <c r="J255" t="s">
        <v>52</v>
      </c>
      <c r="K255">
        <v>3</v>
      </c>
      <c r="L255">
        <v>112</v>
      </c>
      <c r="M255">
        <v>223</v>
      </c>
    </row>
    <row r="256" spans="1:13">
      <c r="A256">
        <v>207</v>
      </c>
      <c r="B256" t="s">
        <v>3280</v>
      </c>
      <c r="C256">
        <v>13</v>
      </c>
      <c r="D256" t="s">
        <v>18</v>
      </c>
      <c r="E256">
        <v>2025</v>
      </c>
      <c r="F256" t="s">
        <v>3281</v>
      </c>
      <c r="G256" t="s">
        <v>3282</v>
      </c>
      <c r="H256" t="s">
        <v>3283</v>
      </c>
      <c r="I256" t="s">
        <v>3416</v>
      </c>
      <c r="J256" t="s">
        <v>52</v>
      </c>
      <c r="K256">
        <v>3</v>
      </c>
      <c r="L256">
        <v>112</v>
      </c>
      <c r="M256">
        <v>224</v>
      </c>
    </row>
    <row r="257" spans="1:13">
      <c r="A257">
        <v>208</v>
      </c>
      <c r="B257" t="s">
        <v>3284</v>
      </c>
      <c r="C257">
        <v>13</v>
      </c>
      <c r="D257" t="s">
        <v>18</v>
      </c>
      <c r="E257">
        <v>2025</v>
      </c>
      <c r="F257" t="s">
        <v>3285</v>
      </c>
      <c r="G257" t="s">
        <v>3286</v>
      </c>
      <c r="H257" t="s">
        <v>3287</v>
      </c>
      <c r="I257" t="s">
        <v>3416</v>
      </c>
      <c r="J257" t="s">
        <v>52</v>
      </c>
      <c r="K257">
        <v>3</v>
      </c>
      <c r="L257">
        <v>113</v>
      </c>
      <c r="M257">
        <v>225</v>
      </c>
    </row>
    <row r="258" spans="1:13">
      <c r="A258">
        <v>209</v>
      </c>
      <c r="B258" t="s">
        <v>3288</v>
      </c>
      <c r="C258">
        <v>13</v>
      </c>
      <c r="D258" t="s">
        <v>18</v>
      </c>
      <c r="E258">
        <v>2025</v>
      </c>
      <c r="F258" t="s">
        <v>3289</v>
      </c>
      <c r="G258" t="s">
        <v>3290</v>
      </c>
      <c r="H258" t="s">
        <v>3291</v>
      </c>
      <c r="I258" t="s">
        <v>3416</v>
      </c>
      <c r="J258" t="s">
        <v>52</v>
      </c>
      <c r="K258">
        <v>3</v>
      </c>
      <c r="L258">
        <v>113</v>
      </c>
      <c r="M258">
        <v>226</v>
      </c>
    </row>
    <row r="259" spans="1:13">
      <c r="A259">
        <v>210</v>
      </c>
      <c r="B259" t="s">
        <v>3292</v>
      </c>
      <c r="C259">
        <v>13</v>
      </c>
      <c r="D259" t="s">
        <v>18</v>
      </c>
      <c r="E259">
        <v>2025</v>
      </c>
      <c r="F259" t="s">
        <v>3293</v>
      </c>
      <c r="G259" t="s">
        <v>3294</v>
      </c>
      <c r="H259" t="s">
        <v>3552</v>
      </c>
      <c r="I259" t="s">
        <v>3416</v>
      </c>
      <c r="J259" t="s">
        <v>52</v>
      </c>
      <c r="K259">
        <v>3</v>
      </c>
      <c r="L259">
        <v>114</v>
      </c>
      <c r="M259">
        <v>227</v>
      </c>
    </row>
    <row r="260" spans="1:13">
      <c r="A260">
        <v>211</v>
      </c>
      <c r="B260" t="s">
        <v>3295</v>
      </c>
      <c r="C260">
        <v>13</v>
      </c>
      <c r="D260" t="s">
        <v>18</v>
      </c>
      <c r="E260">
        <v>2025</v>
      </c>
      <c r="F260" t="s">
        <v>3296</v>
      </c>
      <c r="G260" t="s">
        <v>3297</v>
      </c>
      <c r="H260" t="s">
        <v>3298</v>
      </c>
      <c r="I260" t="s">
        <v>3416</v>
      </c>
      <c r="J260" t="s">
        <v>52</v>
      </c>
      <c r="K260">
        <v>3</v>
      </c>
      <c r="L260">
        <v>114</v>
      </c>
      <c r="M260">
        <v>228</v>
      </c>
    </row>
    <row r="261" spans="1:13">
      <c r="A261">
        <v>212</v>
      </c>
      <c r="B261" t="s">
        <v>3299</v>
      </c>
      <c r="C261">
        <v>13</v>
      </c>
      <c r="D261" t="s">
        <v>18</v>
      </c>
      <c r="E261">
        <v>2025</v>
      </c>
      <c r="F261" t="s">
        <v>1889</v>
      </c>
      <c r="G261" t="s">
        <v>3300</v>
      </c>
      <c r="H261" t="s">
        <v>1891</v>
      </c>
      <c r="I261" t="s">
        <v>3416</v>
      </c>
      <c r="J261" t="s">
        <v>52</v>
      </c>
      <c r="K261">
        <v>3</v>
      </c>
      <c r="L261">
        <v>115</v>
      </c>
      <c r="M261">
        <v>229</v>
      </c>
    </row>
    <row r="262" spans="1:13">
      <c r="A262">
        <v>213</v>
      </c>
      <c r="B262" t="s">
        <v>3301</v>
      </c>
      <c r="C262">
        <v>13</v>
      </c>
      <c r="D262" t="s">
        <v>18</v>
      </c>
      <c r="E262">
        <v>2025</v>
      </c>
      <c r="F262" t="s">
        <v>3302</v>
      </c>
      <c r="G262" t="s">
        <v>3303</v>
      </c>
      <c r="H262" t="s">
        <v>3304</v>
      </c>
      <c r="I262" t="s">
        <v>3416</v>
      </c>
      <c r="J262" t="s">
        <v>52</v>
      </c>
      <c r="K262">
        <v>3</v>
      </c>
      <c r="L262">
        <v>115</v>
      </c>
      <c r="M262">
        <v>230</v>
      </c>
    </row>
    <row r="263" spans="1:13">
      <c r="A263">
        <v>214</v>
      </c>
      <c r="B263" t="s">
        <v>2944</v>
      </c>
      <c r="C263">
        <v>13</v>
      </c>
      <c r="D263" t="s">
        <v>18</v>
      </c>
      <c r="E263">
        <v>2025</v>
      </c>
      <c r="F263" t="s">
        <v>2987</v>
      </c>
      <c r="G263" t="s">
        <v>2988</v>
      </c>
      <c r="H263" t="s">
        <v>3026</v>
      </c>
      <c r="I263" t="s">
        <v>3416</v>
      </c>
      <c r="J263" t="s">
        <v>52</v>
      </c>
      <c r="K263">
        <v>3</v>
      </c>
      <c r="L263">
        <v>116</v>
      </c>
      <c r="M263">
        <v>231</v>
      </c>
    </row>
    <row r="264" spans="1:13">
      <c r="A264">
        <v>215</v>
      </c>
      <c r="B264" t="s">
        <v>3310</v>
      </c>
      <c r="C264">
        <v>13</v>
      </c>
      <c r="D264" t="s">
        <v>18</v>
      </c>
      <c r="E264">
        <v>2025</v>
      </c>
      <c r="F264" t="s">
        <v>2995</v>
      </c>
      <c r="G264" t="s">
        <v>3311</v>
      </c>
      <c r="H264" t="s">
        <v>3029</v>
      </c>
      <c r="I264" t="s">
        <v>3416</v>
      </c>
      <c r="J264" t="s">
        <v>52</v>
      </c>
      <c r="K264">
        <v>3</v>
      </c>
      <c r="L264">
        <v>116</v>
      </c>
      <c r="M264">
        <v>232</v>
      </c>
    </row>
    <row r="265" spans="1:13">
      <c r="A265">
        <v>216</v>
      </c>
      <c r="B265" t="s">
        <v>3312</v>
      </c>
      <c r="C265">
        <v>13</v>
      </c>
      <c r="D265" t="s">
        <v>18</v>
      </c>
      <c r="E265">
        <v>2025</v>
      </c>
      <c r="F265" t="s">
        <v>1598</v>
      </c>
      <c r="G265" t="s">
        <v>3313</v>
      </c>
      <c r="H265" t="s">
        <v>3314</v>
      </c>
      <c r="I265" t="s">
        <v>3416</v>
      </c>
      <c r="J265" t="s">
        <v>52</v>
      </c>
      <c r="K265">
        <v>3</v>
      </c>
      <c r="L265">
        <v>117</v>
      </c>
      <c r="M265">
        <v>233</v>
      </c>
    </row>
    <row r="266" spans="1:13">
      <c r="A266">
        <v>217</v>
      </c>
      <c r="B266" t="s">
        <v>3315</v>
      </c>
      <c r="C266">
        <v>13</v>
      </c>
      <c r="D266" t="s">
        <v>18</v>
      </c>
      <c r="E266">
        <v>2025</v>
      </c>
      <c r="F266" t="s">
        <v>1598</v>
      </c>
      <c r="G266" t="s">
        <v>3313</v>
      </c>
      <c r="H266" t="s">
        <v>3316</v>
      </c>
      <c r="I266" t="s">
        <v>3416</v>
      </c>
      <c r="J266" t="s">
        <v>52</v>
      </c>
      <c r="K266">
        <v>3</v>
      </c>
      <c r="L266">
        <v>117</v>
      </c>
      <c r="M266">
        <v>234</v>
      </c>
    </row>
    <row r="267" spans="1:13">
      <c r="A267">
        <v>218</v>
      </c>
      <c r="B267" t="s">
        <v>3317</v>
      </c>
      <c r="C267">
        <v>13</v>
      </c>
      <c r="D267" t="s">
        <v>18</v>
      </c>
      <c r="E267">
        <v>2025</v>
      </c>
      <c r="F267" t="s">
        <v>3318</v>
      </c>
      <c r="G267" t="s">
        <v>3319</v>
      </c>
      <c r="H267" t="s">
        <v>2988</v>
      </c>
      <c r="I267" t="s">
        <v>3416</v>
      </c>
      <c r="J267" t="s">
        <v>52</v>
      </c>
      <c r="K267">
        <v>3</v>
      </c>
      <c r="L267">
        <v>118</v>
      </c>
      <c r="M267">
        <v>235</v>
      </c>
    </row>
    <row r="268" spans="1:13">
      <c r="A268">
        <v>219</v>
      </c>
      <c r="B268" t="s">
        <v>3320</v>
      </c>
      <c r="C268">
        <v>13</v>
      </c>
      <c r="D268" t="s">
        <v>18</v>
      </c>
      <c r="E268">
        <v>2025</v>
      </c>
      <c r="F268" t="s">
        <v>3321</v>
      </c>
      <c r="G268" t="s">
        <v>3322</v>
      </c>
      <c r="H268" t="s">
        <v>3323</v>
      </c>
      <c r="I268" t="s">
        <v>3416</v>
      </c>
      <c r="J268" t="s">
        <v>52</v>
      </c>
      <c r="K268">
        <v>3</v>
      </c>
      <c r="L268">
        <v>118</v>
      </c>
      <c r="M268">
        <v>236</v>
      </c>
    </row>
    <row r="269" spans="1:13">
      <c r="A269">
        <v>220</v>
      </c>
      <c r="B269" t="s">
        <v>2352</v>
      </c>
      <c r="C269">
        <v>13</v>
      </c>
      <c r="D269" t="s">
        <v>18</v>
      </c>
      <c r="E269">
        <v>2025</v>
      </c>
      <c r="F269" t="s">
        <v>3324</v>
      </c>
      <c r="H269" t="s">
        <v>3325</v>
      </c>
      <c r="I269" t="s">
        <v>3416</v>
      </c>
      <c r="J269" t="s">
        <v>52</v>
      </c>
      <c r="K269">
        <v>3</v>
      </c>
      <c r="L269">
        <v>119</v>
      </c>
      <c r="M269">
        <v>237</v>
      </c>
    </row>
    <row r="270" spans="1:13">
      <c r="A270">
        <v>221</v>
      </c>
      <c r="B270" t="s">
        <v>3326</v>
      </c>
      <c r="C270">
        <v>13</v>
      </c>
      <c r="D270" t="s">
        <v>18</v>
      </c>
      <c r="E270">
        <v>2025</v>
      </c>
      <c r="F270" t="s">
        <v>3327</v>
      </c>
      <c r="G270" t="s">
        <v>3328</v>
      </c>
      <c r="H270" t="s">
        <v>3329</v>
      </c>
      <c r="I270" t="s">
        <v>3416</v>
      </c>
      <c r="J270" t="s">
        <v>52</v>
      </c>
      <c r="K270">
        <v>3</v>
      </c>
      <c r="L270">
        <v>119</v>
      </c>
      <c r="M270">
        <v>238</v>
      </c>
    </row>
    <row r="271" spans="1:13">
      <c r="A271">
        <v>222</v>
      </c>
      <c r="B271" t="s">
        <v>3330</v>
      </c>
      <c r="C271">
        <v>13</v>
      </c>
      <c r="D271" t="s">
        <v>18</v>
      </c>
      <c r="E271">
        <v>2025</v>
      </c>
      <c r="F271" t="s">
        <v>3331</v>
      </c>
      <c r="G271" t="s">
        <v>3332</v>
      </c>
      <c r="H271" t="s">
        <v>3333</v>
      </c>
      <c r="I271" t="s">
        <v>3416</v>
      </c>
      <c r="J271" t="s">
        <v>52</v>
      </c>
      <c r="K271">
        <v>3</v>
      </c>
      <c r="L271">
        <v>120</v>
      </c>
      <c r="M271">
        <v>239</v>
      </c>
    </row>
    <row r="272" spans="1:13">
      <c r="A272">
        <v>223</v>
      </c>
      <c r="B272" t="s">
        <v>3334</v>
      </c>
      <c r="C272">
        <v>13</v>
      </c>
      <c r="D272" t="s">
        <v>18</v>
      </c>
      <c r="E272">
        <v>2025</v>
      </c>
      <c r="F272" t="s">
        <v>3335</v>
      </c>
      <c r="G272" t="s">
        <v>3336</v>
      </c>
      <c r="H272" t="s">
        <v>3337</v>
      </c>
      <c r="I272" t="s">
        <v>3416</v>
      </c>
      <c r="J272" t="s">
        <v>52</v>
      </c>
      <c r="K272">
        <v>3</v>
      </c>
      <c r="L272">
        <v>120</v>
      </c>
      <c r="M272">
        <v>240</v>
      </c>
    </row>
    <row r="273" spans="1:13">
      <c r="A273">
        <v>224</v>
      </c>
      <c r="B273" t="s">
        <v>3338</v>
      </c>
      <c r="C273">
        <v>13</v>
      </c>
      <c r="D273" t="s">
        <v>18</v>
      </c>
      <c r="E273">
        <v>2025</v>
      </c>
      <c r="F273" t="s">
        <v>3339</v>
      </c>
      <c r="H273" t="s">
        <v>3340</v>
      </c>
      <c r="I273" t="s">
        <v>3416</v>
      </c>
      <c r="J273" t="s">
        <v>52</v>
      </c>
      <c r="K273">
        <v>3</v>
      </c>
      <c r="L273">
        <v>121</v>
      </c>
      <c r="M273">
        <v>241</v>
      </c>
    </row>
    <row r="275" spans="1:13" ht="17.25" customHeight="1">
      <c r="B275" s="24" t="s">
        <v>3341</v>
      </c>
    </row>
    <row r="276" spans="1:13">
      <c r="B276" s="22" t="s">
        <v>31</v>
      </c>
      <c r="C276" s="129" t="s">
        <v>10</v>
      </c>
      <c r="D276" s="129" t="s">
        <v>11</v>
      </c>
      <c r="E276" s="129" t="s">
        <v>12</v>
      </c>
      <c r="F276" s="2" t="s">
        <v>27</v>
      </c>
      <c r="G276" s="2" t="s">
        <v>26</v>
      </c>
      <c r="H276" s="2" t="s">
        <v>28</v>
      </c>
      <c r="I276" s="2" t="s">
        <v>39</v>
      </c>
      <c r="J276" s="2" t="s">
        <v>24</v>
      </c>
      <c r="K276" s="2" t="s">
        <v>0</v>
      </c>
      <c r="L276" s="2" t="s">
        <v>1</v>
      </c>
      <c r="M276" s="2" t="s">
        <v>2</v>
      </c>
    </row>
    <row r="277" spans="1:13">
      <c r="A277">
        <v>225</v>
      </c>
      <c r="B277" t="s">
        <v>3342</v>
      </c>
      <c r="C277">
        <v>13</v>
      </c>
      <c r="D277" t="s">
        <v>18</v>
      </c>
      <c r="E277">
        <v>2025</v>
      </c>
      <c r="F277" t="s">
        <v>3343</v>
      </c>
      <c r="G277" t="s">
        <v>3344</v>
      </c>
      <c r="H277" t="s">
        <v>3345</v>
      </c>
      <c r="I277" t="s">
        <v>3416</v>
      </c>
      <c r="J277" t="s">
        <v>52</v>
      </c>
      <c r="K277">
        <v>3</v>
      </c>
      <c r="L277">
        <v>121</v>
      </c>
      <c r="M277">
        <v>242</v>
      </c>
    </row>
    <row r="278" spans="1:13">
      <c r="A278">
        <v>226</v>
      </c>
      <c r="B278" t="s">
        <v>3346</v>
      </c>
      <c r="C278">
        <v>13</v>
      </c>
      <c r="D278" t="s">
        <v>18</v>
      </c>
      <c r="E278">
        <v>2025</v>
      </c>
      <c r="F278" t="s">
        <v>3347</v>
      </c>
      <c r="G278" t="s">
        <v>3348</v>
      </c>
      <c r="H278" t="s">
        <v>3349</v>
      </c>
      <c r="I278" t="s">
        <v>3416</v>
      </c>
      <c r="J278" t="s">
        <v>52</v>
      </c>
      <c r="K278">
        <v>3</v>
      </c>
      <c r="L278">
        <v>122</v>
      </c>
      <c r="M278">
        <v>243</v>
      </c>
    </row>
    <row r="279" spans="1:13">
      <c r="A279">
        <v>227</v>
      </c>
      <c r="B279" t="s">
        <v>3350</v>
      </c>
      <c r="C279">
        <v>13</v>
      </c>
      <c r="D279" t="s">
        <v>18</v>
      </c>
      <c r="E279">
        <v>2025</v>
      </c>
      <c r="F279" t="s">
        <v>3351</v>
      </c>
      <c r="G279" t="s">
        <v>3352</v>
      </c>
      <c r="H279" t="s">
        <v>3353</v>
      </c>
      <c r="I279" t="s">
        <v>3416</v>
      </c>
      <c r="J279" t="s">
        <v>52</v>
      </c>
      <c r="K279">
        <v>3</v>
      </c>
      <c r="L279">
        <v>122</v>
      </c>
      <c r="M279">
        <v>244</v>
      </c>
    </row>
    <row r="280" spans="1:13">
      <c r="A280">
        <v>228</v>
      </c>
      <c r="B280" t="s">
        <v>3067</v>
      </c>
      <c r="C280">
        <v>13</v>
      </c>
      <c r="D280" t="s">
        <v>18</v>
      </c>
      <c r="E280">
        <v>2025</v>
      </c>
      <c r="F280" s="61" t="s">
        <v>3354</v>
      </c>
      <c r="G280" s="12" t="s">
        <v>3069</v>
      </c>
      <c r="H280" s="12" t="s">
        <v>3143</v>
      </c>
      <c r="I280" t="s">
        <v>3416</v>
      </c>
      <c r="J280" t="s">
        <v>52</v>
      </c>
      <c r="K280">
        <v>3</v>
      </c>
      <c r="L280">
        <v>123</v>
      </c>
      <c r="M280">
        <v>245</v>
      </c>
    </row>
    <row r="281" spans="1:13">
      <c r="A281">
        <v>229</v>
      </c>
      <c r="B281" s="12" t="s">
        <v>3355</v>
      </c>
      <c r="C281">
        <v>13</v>
      </c>
      <c r="D281" t="s">
        <v>18</v>
      </c>
      <c r="E281">
        <v>2025</v>
      </c>
      <c r="F281" s="12" t="s">
        <v>3356</v>
      </c>
      <c r="G281" s="12" t="s">
        <v>3074</v>
      </c>
      <c r="H281" s="12" t="s">
        <v>3075</v>
      </c>
      <c r="I281" t="s">
        <v>3416</v>
      </c>
      <c r="J281" t="s">
        <v>52</v>
      </c>
      <c r="K281">
        <v>3</v>
      </c>
      <c r="L281">
        <v>123</v>
      </c>
      <c r="M281">
        <v>246</v>
      </c>
    </row>
    <row r="282" spans="1:13">
      <c r="A282">
        <v>230</v>
      </c>
      <c r="B282" s="12" t="s">
        <v>3357</v>
      </c>
      <c r="C282">
        <v>13</v>
      </c>
      <c r="D282" t="s">
        <v>18</v>
      </c>
      <c r="E282">
        <v>2025</v>
      </c>
      <c r="F282" s="12" t="s">
        <v>3358</v>
      </c>
      <c r="G282" s="12" t="s">
        <v>3359</v>
      </c>
      <c r="H282" s="12" t="s">
        <v>3121</v>
      </c>
      <c r="I282" t="s">
        <v>3416</v>
      </c>
      <c r="J282" t="s">
        <v>52</v>
      </c>
      <c r="K282">
        <v>3</v>
      </c>
      <c r="L282">
        <v>124</v>
      </c>
      <c r="M282">
        <v>247</v>
      </c>
    </row>
    <row r="283" spans="1:13">
      <c r="A283">
        <v>231</v>
      </c>
      <c r="B283" s="12" t="s">
        <v>3360</v>
      </c>
      <c r="C283">
        <v>13</v>
      </c>
      <c r="D283" t="s">
        <v>18</v>
      </c>
      <c r="E283">
        <v>2025</v>
      </c>
      <c r="F283" s="12" t="s">
        <v>3361</v>
      </c>
      <c r="G283" s="12" t="s">
        <v>3362</v>
      </c>
      <c r="H283" s="12" t="s">
        <v>3363</v>
      </c>
      <c r="I283" t="s">
        <v>3416</v>
      </c>
      <c r="J283" t="s">
        <v>52</v>
      </c>
      <c r="K283">
        <v>3</v>
      </c>
      <c r="L283">
        <v>124</v>
      </c>
      <c r="M283">
        <v>248</v>
      </c>
    </row>
    <row r="284" spans="1:13">
      <c r="A284">
        <v>232</v>
      </c>
      <c r="B284" s="12" t="s">
        <v>1497</v>
      </c>
      <c r="C284">
        <v>13</v>
      </c>
      <c r="D284" t="s">
        <v>18</v>
      </c>
      <c r="E284">
        <v>2025</v>
      </c>
      <c r="F284" s="12" t="s">
        <v>1498</v>
      </c>
      <c r="G284" s="12" t="s">
        <v>1499</v>
      </c>
      <c r="H284" s="12" t="s">
        <v>3364</v>
      </c>
      <c r="I284" t="s">
        <v>3416</v>
      </c>
      <c r="J284" t="s">
        <v>52</v>
      </c>
      <c r="K284">
        <v>3</v>
      </c>
      <c r="L284">
        <v>125</v>
      </c>
      <c r="M284">
        <v>249</v>
      </c>
    </row>
    <row r="285" spans="1:13">
      <c r="A285">
        <v>233</v>
      </c>
      <c r="B285" s="12" t="s">
        <v>1520</v>
      </c>
      <c r="C285">
        <v>13</v>
      </c>
      <c r="D285" t="s">
        <v>18</v>
      </c>
      <c r="E285">
        <v>2025</v>
      </c>
      <c r="F285" s="12" t="s">
        <v>1521</v>
      </c>
      <c r="G285" s="12" t="s">
        <v>1522</v>
      </c>
      <c r="H285" s="12" t="s">
        <v>3365</v>
      </c>
      <c r="I285" t="s">
        <v>3416</v>
      </c>
      <c r="J285" t="s">
        <v>52</v>
      </c>
      <c r="K285">
        <v>3</v>
      </c>
      <c r="L285">
        <v>125</v>
      </c>
      <c r="M285">
        <v>250</v>
      </c>
    </row>
    <row r="286" spans="1:13">
      <c r="B286" s="12"/>
      <c r="F286" s="12"/>
      <c r="G286" s="12"/>
      <c r="H286" s="12"/>
    </row>
    <row r="287" spans="1:13" ht="17.25" customHeight="1">
      <c r="B287" s="24" t="s">
        <v>3366</v>
      </c>
    </row>
    <row r="288" spans="1:13">
      <c r="B288" s="22" t="s">
        <v>31</v>
      </c>
      <c r="C288" s="129" t="s">
        <v>10</v>
      </c>
      <c r="D288" s="129" t="s">
        <v>11</v>
      </c>
      <c r="E288" s="129" t="s">
        <v>12</v>
      </c>
      <c r="F288" s="2" t="s">
        <v>27</v>
      </c>
      <c r="G288" s="2" t="s">
        <v>26</v>
      </c>
      <c r="H288" s="2" t="s">
        <v>28</v>
      </c>
      <c r="I288" s="2" t="s">
        <v>39</v>
      </c>
      <c r="J288" s="2" t="s">
        <v>24</v>
      </c>
      <c r="K288" s="2" t="s">
        <v>0</v>
      </c>
      <c r="L288" s="2" t="s">
        <v>1</v>
      </c>
      <c r="M288" s="2" t="s">
        <v>2</v>
      </c>
    </row>
    <row r="289" spans="1:13">
      <c r="A289">
        <v>234</v>
      </c>
      <c r="B289" s="12" t="s">
        <v>3367</v>
      </c>
      <c r="C289">
        <v>13</v>
      </c>
      <c r="D289" t="s">
        <v>18</v>
      </c>
      <c r="E289">
        <v>2025</v>
      </c>
      <c r="F289" t="s">
        <v>3368</v>
      </c>
      <c r="G289" t="s">
        <v>412</v>
      </c>
      <c r="H289" t="s">
        <v>3369</v>
      </c>
      <c r="I289" t="s">
        <v>3416</v>
      </c>
      <c r="J289" t="s">
        <v>52</v>
      </c>
      <c r="K289">
        <v>3</v>
      </c>
      <c r="L289">
        <v>126</v>
      </c>
      <c r="M289">
        <v>251</v>
      </c>
    </row>
    <row r="290" spans="1:13">
      <c r="A290">
        <v>235</v>
      </c>
      <c r="B290" s="12" t="s">
        <v>3370</v>
      </c>
      <c r="C290">
        <v>13</v>
      </c>
      <c r="D290" t="s">
        <v>18</v>
      </c>
      <c r="E290">
        <v>2025</v>
      </c>
      <c r="F290" t="s">
        <v>1860</v>
      </c>
      <c r="G290" t="s">
        <v>1806</v>
      </c>
      <c r="H290" t="s">
        <v>3371</v>
      </c>
      <c r="I290" t="s">
        <v>3416</v>
      </c>
      <c r="J290" t="s">
        <v>52</v>
      </c>
      <c r="K290">
        <v>3</v>
      </c>
      <c r="L290">
        <v>126</v>
      </c>
      <c r="M290">
        <v>252</v>
      </c>
    </row>
    <row r="291" spans="1:13">
      <c r="A291">
        <v>236</v>
      </c>
      <c r="B291" s="12" t="s">
        <v>3372</v>
      </c>
      <c r="C291">
        <v>13</v>
      </c>
      <c r="D291" t="s">
        <v>18</v>
      </c>
      <c r="E291">
        <v>2025</v>
      </c>
      <c r="F291" t="s">
        <v>3369</v>
      </c>
      <c r="G291" t="s">
        <v>3373</v>
      </c>
      <c r="H291" t="s">
        <v>3374</v>
      </c>
      <c r="I291" t="s">
        <v>3416</v>
      </c>
      <c r="J291" t="s">
        <v>52</v>
      </c>
      <c r="K291">
        <v>3</v>
      </c>
      <c r="L291">
        <v>127</v>
      </c>
      <c r="M291">
        <v>253</v>
      </c>
    </row>
    <row r="292" spans="1:13">
      <c r="A292">
        <v>237</v>
      </c>
      <c r="B292" s="12" t="s">
        <v>3375</v>
      </c>
      <c r="C292">
        <v>13</v>
      </c>
      <c r="D292" t="s">
        <v>18</v>
      </c>
      <c r="E292">
        <v>2025</v>
      </c>
      <c r="F292" t="s">
        <v>3376</v>
      </c>
      <c r="G292" t="s">
        <v>1832</v>
      </c>
      <c r="H292" t="s">
        <v>3377</v>
      </c>
      <c r="I292" t="s">
        <v>3416</v>
      </c>
      <c r="J292" t="s">
        <v>52</v>
      </c>
      <c r="K292">
        <v>3</v>
      </c>
      <c r="L292">
        <v>127</v>
      </c>
      <c r="M292">
        <v>254</v>
      </c>
    </row>
    <row r="293" spans="1:13">
      <c r="A293">
        <v>238</v>
      </c>
      <c r="B293" s="12" t="s">
        <v>3378</v>
      </c>
      <c r="C293">
        <v>13</v>
      </c>
      <c r="D293" t="s">
        <v>18</v>
      </c>
      <c r="E293">
        <v>2025</v>
      </c>
      <c r="F293" t="s">
        <v>3379</v>
      </c>
      <c r="G293" t="s">
        <v>3380</v>
      </c>
      <c r="H293" t="s">
        <v>3381</v>
      </c>
      <c r="I293" t="s">
        <v>3416</v>
      </c>
      <c r="J293" t="s">
        <v>52</v>
      </c>
      <c r="K293">
        <v>3</v>
      </c>
      <c r="L293">
        <v>128</v>
      </c>
      <c r="M293">
        <v>255</v>
      </c>
    </row>
    <row r="294" spans="1:13">
      <c r="A294">
        <v>239</v>
      </c>
      <c r="B294" s="12" t="s">
        <v>3382</v>
      </c>
      <c r="C294">
        <v>13</v>
      </c>
      <c r="D294" t="s">
        <v>18</v>
      </c>
      <c r="E294">
        <v>2025</v>
      </c>
      <c r="F294" t="s">
        <v>3383</v>
      </c>
      <c r="G294" t="s">
        <v>3384</v>
      </c>
      <c r="H294" t="s">
        <v>3385</v>
      </c>
      <c r="I294" t="s">
        <v>3416</v>
      </c>
      <c r="J294" t="s">
        <v>52</v>
      </c>
      <c r="K294">
        <v>3</v>
      </c>
      <c r="L294">
        <v>128</v>
      </c>
      <c r="M294">
        <v>256</v>
      </c>
    </row>
    <row r="295" spans="1:13">
      <c r="A295">
        <v>240</v>
      </c>
      <c r="B295" s="12" t="s">
        <v>3386</v>
      </c>
      <c r="C295">
        <v>13</v>
      </c>
      <c r="D295" t="s">
        <v>18</v>
      </c>
      <c r="E295">
        <v>2025</v>
      </c>
      <c r="F295" t="s">
        <v>3387</v>
      </c>
      <c r="G295" t="s">
        <v>3388</v>
      </c>
      <c r="H295" t="s">
        <v>3389</v>
      </c>
      <c r="I295" t="s">
        <v>3416</v>
      </c>
      <c r="J295" t="s">
        <v>52</v>
      </c>
      <c r="K295">
        <v>3</v>
      </c>
      <c r="L295">
        <v>129</v>
      </c>
      <c r="M295">
        <v>257</v>
      </c>
    </row>
    <row r="296" spans="1:13">
      <c r="A296">
        <v>241</v>
      </c>
      <c r="B296" s="12" t="s">
        <v>3390</v>
      </c>
      <c r="C296">
        <v>13</v>
      </c>
      <c r="D296" t="s">
        <v>18</v>
      </c>
      <c r="E296">
        <v>2025</v>
      </c>
      <c r="F296" t="s">
        <v>3391</v>
      </c>
      <c r="G296" t="s">
        <v>3023</v>
      </c>
      <c r="H296" t="s">
        <v>3392</v>
      </c>
      <c r="I296" t="s">
        <v>3416</v>
      </c>
      <c r="J296" t="s">
        <v>52</v>
      </c>
      <c r="K296">
        <v>3</v>
      </c>
      <c r="L296">
        <v>129</v>
      </c>
      <c r="M296">
        <v>258</v>
      </c>
    </row>
    <row r="297" spans="1:13">
      <c r="A297">
        <v>242</v>
      </c>
      <c r="B297" s="12" t="s">
        <v>3393</v>
      </c>
      <c r="C297">
        <v>13</v>
      </c>
      <c r="D297" t="s">
        <v>18</v>
      </c>
      <c r="E297">
        <v>2025</v>
      </c>
      <c r="F297" t="s">
        <v>3369</v>
      </c>
      <c r="G297" t="s">
        <v>3373</v>
      </c>
      <c r="H297" t="s">
        <v>412</v>
      </c>
      <c r="I297" t="s">
        <v>3416</v>
      </c>
      <c r="J297" t="s">
        <v>52</v>
      </c>
      <c r="K297">
        <v>3</v>
      </c>
      <c r="L297">
        <v>130</v>
      </c>
      <c r="M297">
        <v>259</v>
      </c>
    </row>
    <row r="298" spans="1:13">
      <c r="A298">
        <v>243</v>
      </c>
      <c r="B298" s="12" t="s">
        <v>3394</v>
      </c>
      <c r="C298">
        <v>13</v>
      </c>
      <c r="D298" t="s">
        <v>18</v>
      </c>
      <c r="E298">
        <v>2025</v>
      </c>
      <c r="F298" t="s">
        <v>2640</v>
      </c>
      <c r="G298" t="s">
        <v>3395</v>
      </c>
      <c r="H298" t="s">
        <v>3396</v>
      </c>
      <c r="I298" t="s">
        <v>3416</v>
      </c>
      <c r="J298" t="s">
        <v>52</v>
      </c>
      <c r="K298">
        <v>3</v>
      </c>
      <c r="L298">
        <v>130</v>
      </c>
      <c r="M298">
        <v>260</v>
      </c>
    </row>
    <row r="299" spans="1:13">
      <c r="A299">
        <v>244</v>
      </c>
      <c r="B299" s="12" t="s">
        <v>3397</v>
      </c>
      <c r="C299">
        <v>13</v>
      </c>
      <c r="D299" t="s">
        <v>18</v>
      </c>
      <c r="E299">
        <v>2025</v>
      </c>
      <c r="F299" t="s">
        <v>3398</v>
      </c>
      <c r="G299" t="s">
        <v>3399</v>
      </c>
      <c r="H299" t="s">
        <v>3400</v>
      </c>
      <c r="I299" t="s">
        <v>3416</v>
      </c>
      <c r="J299" t="s">
        <v>52</v>
      </c>
      <c r="K299">
        <v>3</v>
      </c>
      <c r="L299">
        <v>131</v>
      </c>
      <c r="M299">
        <v>261</v>
      </c>
    </row>
    <row r="300" spans="1:13">
      <c r="A300">
        <v>245</v>
      </c>
      <c r="B300" s="12" t="s">
        <v>3401</v>
      </c>
      <c r="C300">
        <v>13</v>
      </c>
      <c r="D300" t="s">
        <v>18</v>
      </c>
      <c r="E300">
        <v>2025</v>
      </c>
      <c r="F300" t="s">
        <v>3402</v>
      </c>
      <c r="G300" t="s">
        <v>2203</v>
      </c>
      <c r="H300" t="s">
        <v>2203</v>
      </c>
      <c r="I300" t="s">
        <v>3416</v>
      </c>
      <c r="J300" t="s">
        <v>52</v>
      </c>
      <c r="K300">
        <v>3</v>
      </c>
      <c r="L300">
        <v>131</v>
      </c>
      <c r="M300">
        <v>262</v>
      </c>
    </row>
    <row r="301" spans="1:13">
      <c r="A301">
        <v>246</v>
      </c>
      <c r="B301" s="12" t="s">
        <v>3403</v>
      </c>
      <c r="C301">
        <v>13</v>
      </c>
      <c r="D301" t="s">
        <v>18</v>
      </c>
      <c r="E301">
        <v>2025</v>
      </c>
      <c r="F301" t="s">
        <v>2977</v>
      </c>
      <c r="G301" t="s">
        <v>2978</v>
      </c>
      <c r="H301" t="s">
        <v>3021</v>
      </c>
      <c r="I301" t="s">
        <v>3416</v>
      </c>
      <c r="J301" t="s">
        <v>52</v>
      </c>
      <c r="K301">
        <v>3</v>
      </c>
      <c r="L301">
        <v>132</v>
      </c>
      <c r="M301">
        <v>263</v>
      </c>
    </row>
    <row r="302" spans="1:13">
      <c r="A302">
        <v>247</v>
      </c>
      <c r="B302" s="12" t="s">
        <v>3404</v>
      </c>
      <c r="C302">
        <v>13</v>
      </c>
      <c r="D302" t="s">
        <v>18</v>
      </c>
      <c r="E302">
        <v>2025</v>
      </c>
      <c r="F302" t="s">
        <v>3302</v>
      </c>
      <c r="G302" t="s">
        <v>3303</v>
      </c>
      <c r="H302" t="s">
        <v>3405</v>
      </c>
      <c r="I302" t="s">
        <v>3416</v>
      </c>
      <c r="J302" t="s">
        <v>52</v>
      </c>
      <c r="K302">
        <v>3</v>
      </c>
      <c r="L302">
        <v>132</v>
      </c>
      <c r="M302">
        <v>264</v>
      </c>
    </row>
    <row r="303" spans="1:13">
      <c r="A303">
        <v>248</v>
      </c>
      <c r="B303" s="12" t="s">
        <v>3406</v>
      </c>
      <c r="C303">
        <v>13</v>
      </c>
      <c r="D303" t="s">
        <v>18</v>
      </c>
      <c r="E303">
        <v>2025</v>
      </c>
      <c r="F303" t="s">
        <v>3407</v>
      </c>
      <c r="G303" t="s">
        <v>3408</v>
      </c>
      <c r="H303" t="s">
        <v>3409</v>
      </c>
      <c r="I303" t="s">
        <v>3416</v>
      </c>
      <c r="J303" t="s">
        <v>52</v>
      </c>
      <c r="K303">
        <v>3</v>
      </c>
      <c r="L303">
        <v>133</v>
      </c>
      <c r="M303">
        <v>265</v>
      </c>
    </row>
    <row r="304" spans="1:13">
      <c r="A304">
        <v>249</v>
      </c>
      <c r="B304" s="12" t="s">
        <v>3410</v>
      </c>
      <c r="C304">
        <v>13</v>
      </c>
      <c r="D304" t="s">
        <v>18</v>
      </c>
      <c r="E304">
        <v>2025</v>
      </c>
      <c r="F304" t="s">
        <v>3411</v>
      </c>
      <c r="G304" t="s">
        <v>3412</v>
      </c>
      <c r="H304" t="s">
        <v>3413</v>
      </c>
      <c r="I304" t="s">
        <v>3416</v>
      </c>
      <c r="J304" t="s">
        <v>52</v>
      </c>
      <c r="K304">
        <v>3</v>
      </c>
      <c r="L304">
        <v>133</v>
      </c>
      <c r="M304">
        <v>266</v>
      </c>
    </row>
    <row r="305" spans="1:13">
      <c r="A305">
        <v>250</v>
      </c>
      <c r="B305" s="12" t="s">
        <v>3414</v>
      </c>
      <c r="C305">
        <v>13</v>
      </c>
      <c r="D305" t="s">
        <v>18</v>
      </c>
      <c r="E305">
        <v>2025</v>
      </c>
      <c r="F305" t="s">
        <v>2993</v>
      </c>
      <c r="G305" t="s">
        <v>2994</v>
      </c>
      <c r="H305" t="s">
        <v>3028</v>
      </c>
      <c r="I305" t="s">
        <v>3416</v>
      </c>
      <c r="J305" t="s">
        <v>52</v>
      </c>
      <c r="K305">
        <v>3</v>
      </c>
      <c r="L305">
        <v>134</v>
      </c>
      <c r="M305">
        <v>267</v>
      </c>
    </row>
    <row r="306" spans="1:13">
      <c r="A306">
        <v>251</v>
      </c>
      <c r="B306" s="12" t="s">
        <v>3415</v>
      </c>
      <c r="C306">
        <v>13</v>
      </c>
      <c r="D306" t="s">
        <v>18</v>
      </c>
      <c r="E306">
        <v>2025</v>
      </c>
      <c r="F306" t="s">
        <v>3418</v>
      </c>
      <c r="G306" t="s">
        <v>3419</v>
      </c>
      <c r="H306" t="s">
        <v>3420</v>
      </c>
      <c r="I306" t="s">
        <v>3416</v>
      </c>
      <c r="J306" t="s">
        <v>52</v>
      </c>
      <c r="K306">
        <v>3</v>
      </c>
      <c r="L306">
        <v>134</v>
      </c>
      <c r="M306">
        <v>268</v>
      </c>
    </row>
    <row r="307" spans="1:13">
      <c r="A307">
        <v>252</v>
      </c>
      <c r="B307" s="12" t="s">
        <v>3417</v>
      </c>
      <c r="C307">
        <v>13</v>
      </c>
      <c r="D307" t="s">
        <v>18</v>
      </c>
      <c r="E307">
        <v>2025</v>
      </c>
      <c r="F307" t="s">
        <v>3421</v>
      </c>
      <c r="G307" t="s">
        <v>3422</v>
      </c>
      <c r="H307" t="s">
        <v>3423</v>
      </c>
      <c r="I307" t="s">
        <v>3416</v>
      </c>
      <c r="J307" t="s">
        <v>52</v>
      </c>
      <c r="K307">
        <v>3</v>
      </c>
      <c r="L307">
        <v>135</v>
      </c>
      <c r="M307">
        <v>269</v>
      </c>
    </row>
    <row r="308" spans="1:13">
      <c r="A308">
        <v>253</v>
      </c>
      <c r="B308" s="12" t="s">
        <v>3424</v>
      </c>
      <c r="C308">
        <v>13</v>
      </c>
      <c r="D308" t="s">
        <v>18</v>
      </c>
      <c r="E308">
        <v>2025</v>
      </c>
      <c r="F308" t="s">
        <v>3425</v>
      </c>
      <c r="G308" t="s">
        <v>3426</v>
      </c>
      <c r="H308" t="s">
        <v>3427</v>
      </c>
      <c r="I308" t="s">
        <v>3416</v>
      </c>
      <c r="J308" t="s">
        <v>52</v>
      </c>
      <c r="K308">
        <v>3</v>
      </c>
      <c r="L308">
        <v>135</v>
      </c>
      <c r="M308">
        <v>270</v>
      </c>
    </row>
    <row r="309" spans="1:13">
      <c r="A309">
        <v>254</v>
      </c>
      <c r="B309" s="12" t="s">
        <v>3550</v>
      </c>
      <c r="C309">
        <v>13</v>
      </c>
      <c r="D309" t="s">
        <v>18</v>
      </c>
      <c r="E309">
        <v>2025</v>
      </c>
      <c r="F309" t="s">
        <v>430</v>
      </c>
      <c r="G309" t="s">
        <v>3428</v>
      </c>
      <c r="H309" t="s">
        <v>3429</v>
      </c>
      <c r="I309" t="s">
        <v>3416</v>
      </c>
      <c r="J309" t="s">
        <v>52</v>
      </c>
      <c r="K309">
        <v>3</v>
      </c>
      <c r="L309">
        <v>136</v>
      </c>
      <c r="M309">
        <v>271</v>
      </c>
    </row>
    <row r="310" spans="1:13">
      <c r="A310">
        <v>255</v>
      </c>
      <c r="B310" s="12" t="s">
        <v>3430</v>
      </c>
      <c r="C310">
        <v>13</v>
      </c>
      <c r="D310" t="s">
        <v>18</v>
      </c>
      <c r="E310">
        <v>2025</v>
      </c>
      <c r="F310" t="s">
        <v>3431</v>
      </c>
      <c r="G310" t="s">
        <v>3432</v>
      </c>
      <c r="H310" t="s">
        <v>3433</v>
      </c>
      <c r="I310" t="s">
        <v>3416</v>
      </c>
      <c r="J310" t="s">
        <v>52</v>
      </c>
      <c r="K310">
        <v>3</v>
      </c>
      <c r="L310">
        <v>136</v>
      </c>
      <c r="M310">
        <v>272</v>
      </c>
    </row>
    <row r="312" spans="1:13" ht="17.25" customHeight="1">
      <c r="B312" s="24" t="s">
        <v>3440</v>
      </c>
    </row>
    <row r="313" spans="1:13">
      <c r="B313" s="22" t="s">
        <v>31</v>
      </c>
      <c r="C313" s="130" t="s">
        <v>10</v>
      </c>
      <c r="D313" s="130" t="s">
        <v>11</v>
      </c>
      <c r="E313" s="130" t="s">
        <v>12</v>
      </c>
      <c r="F313" s="2" t="s">
        <v>27</v>
      </c>
      <c r="G313" s="2" t="s">
        <v>26</v>
      </c>
      <c r="H313" s="2" t="s">
        <v>28</v>
      </c>
      <c r="I313" s="2" t="s">
        <v>39</v>
      </c>
      <c r="J313" s="2" t="s">
        <v>24</v>
      </c>
      <c r="K313" s="2" t="s">
        <v>0</v>
      </c>
      <c r="L313" s="2" t="s">
        <v>1</v>
      </c>
      <c r="M313" s="2" t="s">
        <v>2</v>
      </c>
    </row>
    <row r="314" spans="1:13">
      <c r="A314">
        <v>256</v>
      </c>
      <c r="B314" t="s">
        <v>3434</v>
      </c>
      <c r="C314">
        <v>13</v>
      </c>
      <c r="D314" t="s">
        <v>18</v>
      </c>
      <c r="E314">
        <v>2025</v>
      </c>
      <c r="F314" t="s">
        <v>3492</v>
      </c>
      <c r="G314" t="s">
        <v>3493</v>
      </c>
      <c r="H314" t="s">
        <v>3373</v>
      </c>
      <c r="I314" t="s">
        <v>3416</v>
      </c>
      <c r="J314" t="s">
        <v>52</v>
      </c>
      <c r="K314">
        <v>3</v>
      </c>
      <c r="L314">
        <v>137</v>
      </c>
      <c r="M314">
        <v>273</v>
      </c>
    </row>
    <row r="315" spans="1:13">
      <c r="A315">
        <v>257</v>
      </c>
      <c r="B315" t="s">
        <v>3435</v>
      </c>
      <c r="C315">
        <v>13</v>
      </c>
      <c r="D315" t="s">
        <v>18</v>
      </c>
      <c r="E315">
        <v>2025</v>
      </c>
      <c r="F315" t="s">
        <v>806</v>
      </c>
      <c r="G315" t="s">
        <v>829</v>
      </c>
      <c r="H315" t="s">
        <v>3494</v>
      </c>
      <c r="I315" t="s">
        <v>3416</v>
      </c>
      <c r="J315" t="s">
        <v>52</v>
      </c>
      <c r="K315">
        <v>3</v>
      </c>
      <c r="L315">
        <v>137</v>
      </c>
      <c r="M315">
        <v>274</v>
      </c>
    </row>
    <row r="316" spans="1:13">
      <c r="A316">
        <v>258</v>
      </c>
      <c r="B316" t="s">
        <v>3436</v>
      </c>
      <c r="C316">
        <v>13</v>
      </c>
      <c r="D316" t="s">
        <v>18</v>
      </c>
      <c r="E316">
        <v>2025</v>
      </c>
      <c r="F316" t="s">
        <v>3495</v>
      </c>
      <c r="G316" t="s">
        <v>3496</v>
      </c>
      <c r="H316" t="s">
        <v>3497</v>
      </c>
      <c r="I316" t="s">
        <v>3416</v>
      </c>
      <c r="J316" t="s">
        <v>52</v>
      </c>
      <c r="K316">
        <v>3</v>
      </c>
      <c r="L316">
        <v>138</v>
      </c>
      <c r="M316">
        <v>275</v>
      </c>
    </row>
    <row r="317" spans="1:13">
      <c r="A317">
        <v>259</v>
      </c>
      <c r="B317" t="s">
        <v>3437</v>
      </c>
      <c r="C317">
        <v>13</v>
      </c>
      <c r="D317" t="s">
        <v>18</v>
      </c>
      <c r="E317">
        <v>2025</v>
      </c>
      <c r="F317" t="s">
        <v>3492</v>
      </c>
      <c r="G317" t="s">
        <v>3493</v>
      </c>
      <c r="H317" t="s">
        <v>3498</v>
      </c>
      <c r="I317" t="s">
        <v>3416</v>
      </c>
      <c r="J317" t="s">
        <v>52</v>
      </c>
      <c r="K317">
        <v>3</v>
      </c>
      <c r="L317">
        <v>138</v>
      </c>
      <c r="M317">
        <v>276</v>
      </c>
    </row>
    <row r="318" spans="1:13">
      <c r="A318">
        <v>260</v>
      </c>
      <c r="B318" t="s">
        <v>750</v>
      </c>
      <c r="C318">
        <v>13</v>
      </c>
      <c r="D318" t="s">
        <v>18</v>
      </c>
      <c r="E318">
        <v>2025</v>
      </c>
      <c r="F318" t="s">
        <v>3499</v>
      </c>
      <c r="G318" t="s">
        <v>752</v>
      </c>
      <c r="H318" t="s">
        <v>3500</v>
      </c>
      <c r="I318" t="s">
        <v>3416</v>
      </c>
      <c r="J318" t="s">
        <v>52</v>
      </c>
      <c r="K318">
        <v>3</v>
      </c>
      <c r="L318">
        <v>139</v>
      </c>
      <c r="M318">
        <v>277</v>
      </c>
    </row>
    <row r="319" spans="1:13">
      <c r="A319">
        <v>261</v>
      </c>
      <c r="B319" t="s">
        <v>3438</v>
      </c>
      <c r="C319">
        <v>13</v>
      </c>
      <c r="D319" t="s">
        <v>18</v>
      </c>
      <c r="E319">
        <v>2025</v>
      </c>
      <c r="F319" t="s">
        <v>3501</v>
      </c>
      <c r="G319" t="s">
        <v>3502</v>
      </c>
      <c r="H319" t="s">
        <v>3503</v>
      </c>
      <c r="I319" t="s">
        <v>3416</v>
      </c>
      <c r="J319" t="s">
        <v>52</v>
      </c>
      <c r="K319">
        <v>3</v>
      </c>
      <c r="L319">
        <v>139</v>
      </c>
      <c r="M319">
        <v>278</v>
      </c>
    </row>
    <row r="320" spans="1:13">
      <c r="A320">
        <v>262</v>
      </c>
      <c r="B320" t="s">
        <v>3439</v>
      </c>
      <c r="C320">
        <v>13</v>
      </c>
      <c r="D320" t="s">
        <v>18</v>
      </c>
      <c r="E320">
        <v>2025</v>
      </c>
      <c r="F320" t="s">
        <v>3510</v>
      </c>
      <c r="G320" t="s">
        <v>3511</v>
      </c>
      <c r="H320" t="s">
        <v>3504</v>
      </c>
      <c r="I320" t="s">
        <v>3416</v>
      </c>
      <c r="J320" t="s">
        <v>52</v>
      </c>
      <c r="K320">
        <v>3</v>
      </c>
      <c r="L320">
        <v>140</v>
      </c>
      <c r="M320">
        <v>279</v>
      </c>
    </row>
    <row r="321" spans="1:13">
      <c r="A321">
        <v>263</v>
      </c>
      <c r="B321" t="s">
        <v>754</v>
      </c>
      <c r="C321">
        <v>13</v>
      </c>
      <c r="D321" t="s">
        <v>18</v>
      </c>
      <c r="E321">
        <v>2025</v>
      </c>
      <c r="F321" t="s">
        <v>1576</v>
      </c>
      <c r="G321" t="s">
        <v>756</v>
      </c>
      <c r="H321" t="s">
        <v>3505</v>
      </c>
      <c r="I321" t="s">
        <v>3416</v>
      </c>
      <c r="J321" t="s">
        <v>52</v>
      </c>
      <c r="K321">
        <v>3</v>
      </c>
      <c r="L321">
        <v>140</v>
      </c>
      <c r="M321">
        <v>280</v>
      </c>
    </row>
    <row r="322" spans="1:13">
      <c r="A322">
        <v>264</v>
      </c>
      <c r="B322" t="s">
        <v>3441</v>
      </c>
      <c r="C322">
        <v>13</v>
      </c>
      <c r="D322" t="s">
        <v>18</v>
      </c>
      <c r="E322">
        <v>2025</v>
      </c>
      <c r="F322" t="s">
        <v>3506</v>
      </c>
      <c r="G322" t="s">
        <v>3507</v>
      </c>
      <c r="H322" t="s">
        <v>3508</v>
      </c>
      <c r="I322" t="s">
        <v>3416</v>
      </c>
      <c r="J322" t="s">
        <v>52</v>
      </c>
      <c r="K322">
        <v>3</v>
      </c>
      <c r="L322">
        <v>141</v>
      </c>
      <c r="M322">
        <v>281</v>
      </c>
    </row>
    <row r="323" spans="1:13">
      <c r="A323">
        <v>265</v>
      </c>
      <c r="B323" t="s">
        <v>972</v>
      </c>
      <c r="C323">
        <v>13</v>
      </c>
      <c r="D323" t="s">
        <v>18</v>
      </c>
      <c r="E323">
        <v>2025</v>
      </c>
      <c r="F323" t="s">
        <v>762</v>
      </c>
      <c r="G323" t="s">
        <v>763</v>
      </c>
      <c r="H323" t="s">
        <v>764</v>
      </c>
      <c r="I323" t="s">
        <v>3416</v>
      </c>
      <c r="J323" t="s">
        <v>52</v>
      </c>
      <c r="K323">
        <v>3</v>
      </c>
      <c r="L323">
        <v>141</v>
      </c>
      <c r="M323">
        <v>282</v>
      </c>
    </row>
    <row r="324" spans="1:13">
      <c r="A324">
        <v>266</v>
      </c>
      <c r="B324" t="s">
        <v>3442</v>
      </c>
      <c r="C324">
        <v>13</v>
      </c>
      <c r="D324" t="s">
        <v>18</v>
      </c>
      <c r="E324">
        <v>2025</v>
      </c>
      <c r="F324" t="s">
        <v>3506</v>
      </c>
      <c r="G324" t="s">
        <v>3507</v>
      </c>
      <c r="H324" t="s">
        <v>3509</v>
      </c>
      <c r="I324" t="s">
        <v>3416</v>
      </c>
      <c r="J324" t="s">
        <v>52</v>
      </c>
      <c r="K324">
        <v>3</v>
      </c>
      <c r="L324">
        <v>142</v>
      </c>
      <c r="M324">
        <v>283</v>
      </c>
    </row>
    <row r="325" spans="1:13">
      <c r="A325">
        <v>267</v>
      </c>
      <c r="B325" t="s">
        <v>3443</v>
      </c>
      <c r="C325">
        <v>13</v>
      </c>
      <c r="D325" t="s">
        <v>18</v>
      </c>
      <c r="E325">
        <v>2025</v>
      </c>
      <c r="F325" t="s">
        <v>909</v>
      </c>
      <c r="G325" t="s">
        <v>910</v>
      </c>
      <c r="H325" t="s">
        <v>3553</v>
      </c>
      <c r="I325" t="s">
        <v>3416</v>
      </c>
      <c r="J325" t="s">
        <v>52</v>
      </c>
      <c r="K325">
        <v>3</v>
      </c>
      <c r="L325">
        <v>142</v>
      </c>
      <c r="M325">
        <v>284</v>
      </c>
    </row>
    <row r="326" spans="1:13">
      <c r="A326">
        <v>268</v>
      </c>
      <c r="B326" t="s">
        <v>3444</v>
      </c>
      <c r="C326">
        <v>13</v>
      </c>
      <c r="D326" t="s">
        <v>18</v>
      </c>
      <c r="E326">
        <v>2025</v>
      </c>
      <c r="F326" t="s">
        <v>3510</v>
      </c>
      <c r="G326" t="s">
        <v>3511</v>
      </c>
      <c r="H326" t="s">
        <v>3512</v>
      </c>
      <c r="I326" t="s">
        <v>3416</v>
      </c>
      <c r="J326" t="s">
        <v>52</v>
      </c>
      <c r="K326">
        <v>3</v>
      </c>
      <c r="L326">
        <v>143</v>
      </c>
      <c r="M326">
        <v>285</v>
      </c>
    </row>
    <row r="327" spans="1:13">
      <c r="A327">
        <v>269</v>
      </c>
      <c r="B327" t="s">
        <v>3445</v>
      </c>
      <c r="C327">
        <v>13</v>
      </c>
      <c r="D327" t="s">
        <v>18</v>
      </c>
      <c r="E327">
        <v>2025</v>
      </c>
      <c r="F327" t="s">
        <v>3513</v>
      </c>
      <c r="G327" t="s">
        <v>3491</v>
      </c>
      <c r="H327" t="s">
        <v>3514</v>
      </c>
      <c r="I327" t="s">
        <v>3416</v>
      </c>
      <c r="J327" t="s">
        <v>52</v>
      </c>
      <c r="K327">
        <v>3</v>
      </c>
      <c r="L327">
        <v>143</v>
      </c>
      <c r="M327">
        <v>286</v>
      </c>
    </row>
    <row r="328" spans="1:13">
      <c r="A328">
        <v>270</v>
      </c>
      <c r="B328" t="s">
        <v>3446</v>
      </c>
      <c r="C328">
        <v>13</v>
      </c>
      <c r="D328" t="s">
        <v>18</v>
      </c>
      <c r="E328">
        <v>2025</v>
      </c>
      <c r="F328" t="s">
        <v>2319</v>
      </c>
      <c r="G328" t="s">
        <v>2320</v>
      </c>
      <c r="H328" t="s">
        <v>3515</v>
      </c>
      <c r="I328" t="s">
        <v>3416</v>
      </c>
      <c r="J328" t="s">
        <v>52</v>
      </c>
      <c r="K328">
        <v>3</v>
      </c>
      <c r="L328">
        <v>144</v>
      </c>
      <c r="M328">
        <v>287</v>
      </c>
    </row>
    <row r="329" spans="1:13">
      <c r="A329">
        <v>271</v>
      </c>
      <c r="B329" t="s">
        <v>3447</v>
      </c>
      <c r="C329">
        <v>13</v>
      </c>
      <c r="D329" t="s">
        <v>18</v>
      </c>
      <c r="E329">
        <v>2025</v>
      </c>
      <c r="F329" t="s">
        <v>3516</v>
      </c>
      <c r="G329" t="s">
        <v>3517</v>
      </c>
      <c r="H329" t="s">
        <v>3518</v>
      </c>
      <c r="I329" t="s">
        <v>3416</v>
      </c>
      <c r="J329" t="s">
        <v>52</v>
      </c>
      <c r="K329">
        <v>3</v>
      </c>
      <c r="L329">
        <v>144</v>
      </c>
      <c r="M329">
        <v>288</v>
      </c>
    </row>
    <row r="330" spans="1:13">
      <c r="A330">
        <v>272</v>
      </c>
      <c r="B330" t="s">
        <v>3448</v>
      </c>
      <c r="C330">
        <v>13</v>
      </c>
      <c r="D330" t="s">
        <v>18</v>
      </c>
      <c r="E330">
        <v>2025</v>
      </c>
      <c r="F330" t="s">
        <v>3519</v>
      </c>
      <c r="G330" t="s">
        <v>3520</v>
      </c>
      <c r="H330" t="s">
        <v>3521</v>
      </c>
      <c r="I330" t="s">
        <v>3416</v>
      </c>
      <c r="J330" t="s">
        <v>52</v>
      </c>
      <c r="K330">
        <v>3</v>
      </c>
      <c r="L330">
        <v>145</v>
      </c>
      <c r="M330">
        <v>289</v>
      </c>
    </row>
    <row r="331" spans="1:13">
      <c r="A331">
        <v>273</v>
      </c>
      <c r="B331" t="s">
        <v>3449</v>
      </c>
      <c r="C331">
        <v>13</v>
      </c>
      <c r="D331" t="s">
        <v>18</v>
      </c>
      <c r="E331">
        <v>2025</v>
      </c>
      <c r="F331" t="s">
        <v>997</v>
      </c>
      <c r="G331" t="s">
        <v>998</v>
      </c>
      <c r="H331" t="s">
        <v>857</v>
      </c>
      <c r="I331" t="s">
        <v>3416</v>
      </c>
      <c r="J331" t="s">
        <v>52</v>
      </c>
      <c r="K331">
        <v>3</v>
      </c>
      <c r="L331">
        <v>145</v>
      </c>
      <c r="M331">
        <v>290</v>
      </c>
    </row>
    <row r="332" spans="1:13">
      <c r="A332">
        <v>274</v>
      </c>
      <c r="B332" t="s">
        <v>3450</v>
      </c>
      <c r="C332">
        <v>13</v>
      </c>
      <c r="D332" t="s">
        <v>18</v>
      </c>
      <c r="E332">
        <v>2025</v>
      </c>
      <c r="F332" t="s">
        <v>3522</v>
      </c>
      <c r="G332" t="s">
        <v>3523</v>
      </c>
      <c r="H332" t="s">
        <v>3524</v>
      </c>
      <c r="I332" t="s">
        <v>3416</v>
      </c>
      <c r="J332" t="s">
        <v>52</v>
      </c>
      <c r="K332">
        <v>3</v>
      </c>
      <c r="L332">
        <v>146</v>
      </c>
      <c r="M332">
        <v>291</v>
      </c>
    </row>
    <row r="333" spans="1:13">
      <c r="A333">
        <v>275</v>
      </c>
      <c r="B333" t="s">
        <v>3451</v>
      </c>
      <c r="C333">
        <v>13</v>
      </c>
      <c r="D333" t="s">
        <v>18</v>
      </c>
      <c r="E333">
        <v>2025</v>
      </c>
      <c r="F333" t="s">
        <v>3480</v>
      </c>
      <c r="G333" t="s">
        <v>3481</v>
      </c>
      <c r="H333" t="s">
        <v>3525</v>
      </c>
      <c r="I333" t="s">
        <v>3416</v>
      </c>
      <c r="J333" t="s">
        <v>52</v>
      </c>
      <c r="K333">
        <v>3</v>
      </c>
      <c r="L333">
        <v>146</v>
      </c>
      <c r="M333">
        <v>292</v>
      </c>
    </row>
    <row r="334" spans="1:13">
      <c r="A334">
        <v>276</v>
      </c>
      <c r="B334" t="s">
        <v>3452</v>
      </c>
      <c r="C334">
        <v>13</v>
      </c>
      <c r="D334" t="s">
        <v>18</v>
      </c>
      <c r="E334">
        <v>2025</v>
      </c>
      <c r="F334" t="s">
        <v>3526</v>
      </c>
      <c r="G334" t="s">
        <v>3527</v>
      </c>
      <c r="H334" t="s">
        <v>3528</v>
      </c>
      <c r="I334" t="s">
        <v>3416</v>
      </c>
      <c r="J334" t="s">
        <v>52</v>
      </c>
      <c r="K334">
        <v>3</v>
      </c>
      <c r="L334">
        <v>147</v>
      </c>
      <c r="M334">
        <v>293</v>
      </c>
    </row>
    <row r="335" spans="1:13">
      <c r="A335">
        <v>277</v>
      </c>
      <c r="B335" t="s">
        <v>3453</v>
      </c>
      <c r="C335">
        <v>13</v>
      </c>
      <c r="D335" t="s">
        <v>18</v>
      </c>
      <c r="E335">
        <v>2025</v>
      </c>
      <c r="F335" t="s">
        <v>3529</v>
      </c>
      <c r="G335" t="s">
        <v>3530</v>
      </c>
      <c r="H335" t="s">
        <v>3531</v>
      </c>
      <c r="I335" t="s">
        <v>3416</v>
      </c>
      <c r="J335" t="s">
        <v>52</v>
      </c>
      <c r="K335">
        <v>3</v>
      </c>
      <c r="L335">
        <v>147</v>
      </c>
      <c r="M335">
        <v>294</v>
      </c>
    </row>
    <row r="337" spans="1:13" ht="17.25" customHeight="1">
      <c r="B337" s="24" t="s">
        <v>3454</v>
      </c>
    </row>
    <row r="338" spans="1:13">
      <c r="B338" s="22" t="s">
        <v>3455</v>
      </c>
      <c r="C338" s="131" t="s">
        <v>10</v>
      </c>
      <c r="D338" s="131" t="s">
        <v>11</v>
      </c>
      <c r="E338" s="131" t="s">
        <v>12</v>
      </c>
      <c r="F338" s="2" t="s">
        <v>27</v>
      </c>
      <c r="G338" s="2" t="s">
        <v>26</v>
      </c>
      <c r="H338" s="2" t="s">
        <v>28</v>
      </c>
      <c r="I338" s="2" t="s">
        <v>39</v>
      </c>
      <c r="J338" s="2" t="s">
        <v>24</v>
      </c>
      <c r="K338" s="2" t="s">
        <v>0</v>
      </c>
      <c r="L338" s="2" t="s">
        <v>1</v>
      </c>
      <c r="M338" s="2" t="s">
        <v>2</v>
      </c>
    </row>
    <row r="339" spans="1:13">
      <c r="A339">
        <v>278</v>
      </c>
      <c r="B339" s="126" t="s">
        <v>2200</v>
      </c>
      <c r="C339">
        <v>13</v>
      </c>
      <c r="D339" s="12" t="s">
        <v>18</v>
      </c>
      <c r="E339">
        <v>2025</v>
      </c>
      <c r="F339" t="s">
        <v>3543</v>
      </c>
      <c r="G339" t="s">
        <v>3544</v>
      </c>
      <c r="H339" t="s">
        <v>2248</v>
      </c>
      <c r="I339" t="s">
        <v>3416</v>
      </c>
      <c r="J339" t="s">
        <v>52</v>
      </c>
      <c r="K339">
        <v>3</v>
      </c>
      <c r="L339">
        <v>148</v>
      </c>
      <c r="M339">
        <v>295</v>
      </c>
    </row>
    <row r="340" spans="1:13">
      <c r="A340">
        <v>279</v>
      </c>
      <c r="B340" s="126" t="s">
        <v>3199</v>
      </c>
      <c r="C340">
        <v>13</v>
      </c>
      <c r="D340" s="12" t="s">
        <v>18</v>
      </c>
      <c r="E340">
        <v>2025</v>
      </c>
      <c r="F340" t="s">
        <v>3468</v>
      </c>
      <c r="G340" t="s">
        <v>3469</v>
      </c>
      <c r="H340" t="s">
        <v>3470</v>
      </c>
      <c r="I340" t="s">
        <v>3416</v>
      </c>
      <c r="J340" t="s">
        <v>52</v>
      </c>
      <c r="K340">
        <v>3</v>
      </c>
      <c r="L340">
        <v>148</v>
      </c>
      <c r="M340">
        <v>296</v>
      </c>
    </row>
    <row r="341" spans="1:13">
      <c r="A341">
        <v>280</v>
      </c>
      <c r="B341" s="88" t="s">
        <v>3200</v>
      </c>
      <c r="C341">
        <v>13</v>
      </c>
      <c r="D341" s="12" t="s">
        <v>18</v>
      </c>
      <c r="E341">
        <v>2025</v>
      </c>
      <c r="F341" t="s">
        <v>3471</v>
      </c>
      <c r="H341" t="s">
        <v>3461</v>
      </c>
      <c r="I341" t="s">
        <v>3416</v>
      </c>
      <c r="J341" t="s">
        <v>52</v>
      </c>
      <c r="K341">
        <v>3</v>
      </c>
      <c r="L341">
        <v>149</v>
      </c>
      <c r="M341">
        <v>297</v>
      </c>
    </row>
    <row r="342" spans="1:13">
      <c r="A342">
        <v>281</v>
      </c>
      <c r="B342" s="126" t="s">
        <v>3201</v>
      </c>
      <c r="C342">
        <v>13</v>
      </c>
      <c r="D342" s="12" t="s">
        <v>18</v>
      </c>
      <c r="E342">
        <v>2025</v>
      </c>
      <c r="F342" t="s">
        <v>3537</v>
      </c>
      <c r="G342" t="s">
        <v>3538</v>
      </c>
      <c r="H342" t="s">
        <v>3472</v>
      </c>
      <c r="I342" t="s">
        <v>3416</v>
      </c>
      <c r="J342" t="s">
        <v>52</v>
      </c>
      <c r="K342">
        <v>3</v>
      </c>
      <c r="L342">
        <v>149</v>
      </c>
      <c r="M342">
        <v>298</v>
      </c>
    </row>
    <row r="343" spans="1:13">
      <c r="A343">
        <v>282</v>
      </c>
      <c r="B343" s="126" t="s">
        <v>3202</v>
      </c>
      <c r="C343">
        <v>13</v>
      </c>
      <c r="D343" s="12" t="s">
        <v>18</v>
      </c>
      <c r="E343">
        <v>2025</v>
      </c>
      <c r="F343" t="s">
        <v>3473</v>
      </c>
      <c r="G343" t="s">
        <v>3474</v>
      </c>
      <c r="H343" t="s">
        <v>3475</v>
      </c>
      <c r="I343" t="s">
        <v>3416</v>
      </c>
      <c r="J343" t="s">
        <v>52</v>
      </c>
      <c r="K343">
        <v>3</v>
      </c>
      <c r="L343">
        <v>150</v>
      </c>
      <c r="M343">
        <v>299</v>
      </c>
    </row>
    <row r="344" spans="1:13">
      <c r="A344">
        <v>283</v>
      </c>
      <c r="B344" s="132" t="s">
        <v>3476</v>
      </c>
      <c r="C344">
        <v>13</v>
      </c>
      <c r="D344" s="12" t="s">
        <v>18</v>
      </c>
      <c r="E344">
        <v>2025</v>
      </c>
      <c r="F344" t="s">
        <v>3477</v>
      </c>
      <c r="G344" t="s">
        <v>3478</v>
      </c>
      <c r="H344" t="s">
        <v>3479</v>
      </c>
      <c r="I344" t="s">
        <v>3416</v>
      </c>
      <c r="J344" t="s">
        <v>52</v>
      </c>
      <c r="K344">
        <v>3</v>
      </c>
      <c r="L344">
        <v>150</v>
      </c>
      <c r="M344">
        <v>300</v>
      </c>
    </row>
    <row r="345" spans="1:13">
      <c r="A345">
        <v>284</v>
      </c>
      <c r="B345" s="126" t="s">
        <v>3203</v>
      </c>
      <c r="C345">
        <v>13</v>
      </c>
      <c r="D345" s="12" t="s">
        <v>18</v>
      </c>
      <c r="E345">
        <v>2025</v>
      </c>
      <c r="F345" t="s">
        <v>3480</v>
      </c>
      <c r="G345" t="s">
        <v>3481</v>
      </c>
      <c r="H345" t="s">
        <v>3549</v>
      </c>
      <c r="I345" t="s">
        <v>3416</v>
      </c>
      <c r="J345" t="s">
        <v>52</v>
      </c>
      <c r="K345">
        <v>3</v>
      </c>
      <c r="L345">
        <v>151</v>
      </c>
      <c r="M345">
        <v>301</v>
      </c>
    </row>
    <row r="346" spans="1:13">
      <c r="A346">
        <v>285</v>
      </c>
      <c r="B346" s="126" t="s">
        <v>3204</v>
      </c>
      <c r="C346">
        <v>13</v>
      </c>
      <c r="D346" s="12" t="s">
        <v>18</v>
      </c>
      <c r="E346">
        <v>2025</v>
      </c>
      <c r="F346" t="s">
        <v>3482</v>
      </c>
      <c r="G346" t="s">
        <v>3483</v>
      </c>
      <c r="H346" t="s">
        <v>3484</v>
      </c>
      <c r="I346" t="s">
        <v>3416</v>
      </c>
      <c r="J346" t="s">
        <v>52</v>
      </c>
      <c r="K346">
        <v>3</v>
      </c>
      <c r="L346">
        <v>151</v>
      </c>
      <c r="M346">
        <v>302</v>
      </c>
    </row>
    <row r="347" spans="1:13">
      <c r="A347">
        <v>286</v>
      </c>
      <c r="B347" s="132" t="s">
        <v>3464</v>
      </c>
      <c r="C347">
        <v>13</v>
      </c>
      <c r="D347" s="12" t="s">
        <v>18</v>
      </c>
      <c r="E347">
        <v>2025</v>
      </c>
      <c r="F347" t="s">
        <v>3465</v>
      </c>
      <c r="G347" t="s">
        <v>3466</v>
      </c>
      <c r="H347" t="s">
        <v>3467</v>
      </c>
      <c r="I347" t="s">
        <v>3416</v>
      </c>
      <c r="J347" t="s">
        <v>52</v>
      </c>
      <c r="K347">
        <v>3</v>
      </c>
      <c r="L347">
        <v>152</v>
      </c>
      <c r="M347">
        <v>303</v>
      </c>
    </row>
    <row r="348" spans="1:13">
      <c r="A348">
        <v>287</v>
      </c>
      <c r="B348" s="126" t="s">
        <v>3205</v>
      </c>
      <c r="C348">
        <v>13</v>
      </c>
      <c r="D348" s="12" t="s">
        <v>18</v>
      </c>
      <c r="E348">
        <v>2025</v>
      </c>
      <c r="F348" t="s">
        <v>3485</v>
      </c>
      <c r="G348" t="s">
        <v>3486</v>
      </c>
      <c r="H348" t="s">
        <v>3487</v>
      </c>
      <c r="I348" t="s">
        <v>3416</v>
      </c>
      <c r="J348" t="s">
        <v>52</v>
      </c>
      <c r="K348">
        <v>3</v>
      </c>
      <c r="L348">
        <v>152</v>
      </c>
      <c r="M348">
        <v>304</v>
      </c>
    </row>
    <row r="349" spans="1:13">
      <c r="A349">
        <v>288</v>
      </c>
      <c r="B349" s="127" t="s">
        <v>3206</v>
      </c>
      <c r="C349">
        <v>13</v>
      </c>
      <c r="D349" s="12" t="s">
        <v>18</v>
      </c>
      <c r="E349">
        <v>2025</v>
      </c>
      <c r="F349" t="s">
        <v>3488</v>
      </c>
      <c r="G349" t="s">
        <v>3489</v>
      </c>
      <c r="H349" t="s">
        <v>3490</v>
      </c>
      <c r="I349" t="s">
        <v>3416</v>
      </c>
      <c r="J349" t="s">
        <v>52</v>
      </c>
      <c r="K349">
        <v>3</v>
      </c>
      <c r="L349">
        <v>153</v>
      </c>
      <c r="M349">
        <v>305</v>
      </c>
    </row>
    <row r="350" spans="1:13">
      <c r="B350" s="88"/>
    </row>
    <row r="351" spans="1:13" ht="17.25" customHeight="1">
      <c r="B351" s="24" t="s">
        <v>3532</v>
      </c>
    </row>
    <row r="352" spans="1:13">
      <c r="B352" s="22" t="s">
        <v>3533</v>
      </c>
      <c r="C352" s="133" t="s">
        <v>10</v>
      </c>
      <c r="D352" s="133" t="s">
        <v>11</v>
      </c>
      <c r="E352" s="133" t="s">
        <v>12</v>
      </c>
      <c r="F352" s="2" t="s">
        <v>27</v>
      </c>
      <c r="G352" s="2" t="s">
        <v>26</v>
      </c>
      <c r="H352" s="2" t="s">
        <v>28</v>
      </c>
      <c r="I352" s="2" t="s">
        <v>39</v>
      </c>
      <c r="J352" s="2" t="s">
        <v>24</v>
      </c>
      <c r="K352" s="2" t="s">
        <v>0</v>
      </c>
      <c r="L352" s="2" t="s">
        <v>1</v>
      </c>
      <c r="M352" s="2" t="s">
        <v>2</v>
      </c>
    </row>
    <row r="353" spans="1:13">
      <c r="A353">
        <v>289</v>
      </c>
      <c r="B353" t="s">
        <v>3534</v>
      </c>
      <c r="C353">
        <v>13</v>
      </c>
      <c r="D353" t="s">
        <v>18</v>
      </c>
      <c r="E353">
        <v>2025</v>
      </c>
      <c r="F353" t="s">
        <v>3536</v>
      </c>
      <c r="G353" t="s">
        <v>3535</v>
      </c>
      <c r="H353" t="s">
        <v>2016</v>
      </c>
      <c r="I353" t="s">
        <v>3416</v>
      </c>
      <c r="J353" t="s">
        <v>52</v>
      </c>
      <c r="K353">
        <v>3</v>
      </c>
      <c r="L353">
        <v>153</v>
      </c>
      <c r="M353">
        <v>306</v>
      </c>
    </row>
    <row r="355" spans="1:13" ht="17.25" customHeight="1">
      <c r="B355" s="24" t="s">
        <v>3366</v>
      </c>
    </row>
    <row r="356" spans="1:13">
      <c r="B356" s="22" t="s">
        <v>31</v>
      </c>
      <c r="C356" s="134" t="s">
        <v>10</v>
      </c>
      <c r="D356" s="134" t="s">
        <v>11</v>
      </c>
      <c r="E356" s="134" t="s">
        <v>12</v>
      </c>
      <c r="F356" s="2" t="s">
        <v>27</v>
      </c>
      <c r="G356" s="2" t="s">
        <v>26</v>
      </c>
      <c r="H356" s="2" t="s">
        <v>28</v>
      </c>
      <c r="I356" s="2" t="s">
        <v>39</v>
      </c>
      <c r="J356" s="2" t="s">
        <v>24</v>
      </c>
      <c r="K356" s="2" t="s">
        <v>0</v>
      </c>
      <c r="L356" s="2" t="s">
        <v>1</v>
      </c>
      <c r="M356" s="2" t="s">
        <v>2</v>
      </c>
    </row>
    <row r="357" spans="1:13">
      <c r="A357">
        <v>290</v>
      </c>
      <c r="B357" t="s">
        <v>2936</v>
      </c>
      <c r="C357">
        <v>13</v>
      </c>
      <c r="D357" t="s">
        <v>18</v>
      </c>
      <c r="E357">
        <v>2025</v>
      </c>
      <c r="F357" t="s">
        <v>2971</v>
      </c>
      <c r="G357" t="s">
        <v>3539</v>
      </c>
      <c r="H357" t="s">
        <v>3540</v>
      </c>
      <c r="I357" t="s">
        <v>3416</v>
      </c>
      <c r="J357" t="s">
        <v>52</v>
      </c>
      <c r="K357">
        <v>3</v>
      </c>
      <c r="L357">
        <v>154</v>
      </c>
      <c r="M357">
        <v>307</v>
      </c>
    </row>
    <row r="358" spans="1:13">
      <c r="A358">
        <v>291</v>
      </c>
      <c r="B358" t="s">
        <v>745</v>
      </c>
      <c r="C358">
        <v>13</v>
      </c>
      <c r="D358" t="s">
        <v>18</v>
      </c>
      <c r="E358">
        <v>2025</v>
      </c>
      <c r="F358" t="s">
        <v>3541</v>
      </c>
      <c r="G358" t="s">
        <v>747</v>
      </c>
      <c r="H358" t="s">
        <v>3542</v>
      </c>
      <c r="I358" t="s">
        <v>3416</v>
      </c>
      <c r="J358" t="s">
        <v>52</v>
      </c>
      <c r="K358">
        <v>3</v>
      </c>
      <c r="L358">
        <v>154</v>
      </c>
      <c r="M358">
        <v>308</v>
      </c>
    </row>
    <row r="360" spans="1:13" ht="17.25" customHeight="1">
      <c r="B360" s="24" t="s">
        <v>3532</v>
      </c>
    </row>
    <row r="361" spans="1:13">
      <c r="B361" s="22" t="s">
        <v>3533</v>
      </c>
      <c r="C361" s="135" t="s">
        <v>10</v>
      </c>
      <c r="D361" s="135" t="s">
        <v>11</v>
      </c>
      <c r="E361" s="135" t="s">
        <v>12</v>
      </c>
      <c r="F361" s="2" t="s">
        <v>27</v>
      </c>
      <c r="G361" s="2" t="s">
        <v>26</v>
      </c>
      <c r="H361" s="2" t="s">
        <v>28</v>
      </c>
      <c r="I361" s="2" t="s">
        <v>39</v>
      </c>
      <c r="J361" s="2" t="s">
        <v>24</v>
      </c>
      <c r="K361" s="2" t="s">
        <v>0</v>
      </c>
      <c r="L361" s="2" t="s">
        <v>1</v>
      </c>
      <c r="M361" s="2" t="s">
        <v>2</v>
      </c>
    </row>
    <row r="362" spans="1:13">
      <c r="A362">
        <v>292</v>
      </c>
      <c r="B362" t="s">
        <v>3546</v>
      </c>
      <c r="C362">
        <v>13</v>
      </c>
      <c r="D362" t="s">
        <v>18</v>
      </c>
      <c r="E362">
        <v>2025</v>
      </c>
      <c r="F362" t="s">
        <v>3547</v>
      </c>
      <c r="G362" t="s">
        <v>3548</v>
      </c>
      <c r="H362" t="s">
        <v>3551</v>
      </c>
      <c r="I362" t="s">
        <v>3416</v>
      </c>
      <c r="J362" t="s">
        <v>52</v>
      </c>
      <c r="K362">
        <v>3</v>
      </c>
      <c r="L362">
        <v>155</v>
      </c>
      <c r="M362">
        <v>309</v>
      </c>
    </row>
    <row r="364" spans="1:13" ht="20.25">
      <c r="B364" s="21" t="s">
        <v>4288</v>
      </c>
    </row>
    <row r="365" spans="1:13" ht="20.25" customHeight="1">
      <c r="B365" s="72" t="s">
        <v>3269</v>
      </c>
    </row>
    <row r="366" spans="1:13" ht="17.25" customHeight="1">
      <c r="B366" s="24" t="s">
        <v>4395</v>
      </c>
    </row>
    <row r="367" spans="1:13">
      <c r="B367" s="22" t="s">
        <v>31</v>
      </c>
      <c r="C367" s="143" t="s">
        <v>10</v>
      </c>
      <c r="D367" s="143" t="s">
        <v>11</v>
      </c>
      <c r="E367" s="143" t="s">
        <v>12</v>
      </c>
      <c r="F367" s="2" t="s">
        <v>27</v>
      </c>
      <c r="G367" s="2" t="s">
        <v>26</v>
      </c>
      <c r="H367" s="2" t="s">
        <v>28</v>
      </c>
      <c r="I367" s="2" t="s">
        <v>39</v>
      </c>
      <c r="J367" s="2" t="s">
        <v>24</v>
      </c>
      <c r="K367" s="2" t="s">
        <v>0</v>
      </c>
      <c r="L367" s="2" t="s">
        <v>1</v>
      </c>
      <c r="M367" s="2" t="s">
        <v>2</v>
      </c>
    </row>
    <row r="368" spans="1:13">
      <c r="A368">
        <v>293</v>
      </c>
      <c r="B368" t="s">
        <v>4289</v>
      </c>
      <c r="C368">
        <v>15</v>
      </c>
      <c r="D368" t="s">
        <v>18</v>
      </c>
      <c r="E368">
        <v>2026</v>
      </c>
      <c r="F368" t="s">
        <v>4290</v>
      </c>
      <c r="G368" t="s">
        <v>4291</v>
      </c>
      <c r="H368" t="s">
        <v>4292</v>
      </c>
      <c r="I368" t="s">
        <v>859</v>
      </c>
      <c r="J368" t="s">
        <v>52</v>
      </c>
      <c r="K368">
        <v>3</v>
      </c>
      <c r="L368">
        <v>155</v>
      </c>
      <c r="M368">
        <v>310</v>
      </c>
    </row>
    <row r="369" spans="1:13">
      <c r="A369">
        <v>294</v>
      </c>
      <c r="B369" t="s">
        <v>4293</v>
      </c>
      <c r="C369">
        <v>15</v>
      </c>
      <c r="D369" t="s">
        <v>18</v>
      </c>
      <c r="E369">
        <v>2026</v>
      </c>
      <c r="F369" t="s">
        <v>4294</v>
      </c>
      <c r="G369" t="s">
        <v>4295</v>
      </c>
      <c r="H369" t="s">
        <v>4296</v>
      </c>
      <c r="I369" t="s">
        <v>859</v>
      </c>
      <c r="J369" t="s">
        <v>52</v>
      </c>
      <c r="K369">
        <v>3</v>
      </c>
      <c r="L369">
        <v>156</v>
      </c>
      <c r="M369">
        <v>311</v>
      </c>
    </row>
    <row r="370" spans="1:13">
      <c r="A370">
        <v>295</v>
      </c>
      <c r="B370" t="s">
        <v>4297</v>
      </c>
      <c r="C370">
        <v>15</v>
      </c>
      <c r="D370" t="s">
        <v>18</v>
      </c>
      <c r="E370">
        <v>2026</v>
      </c>
      <c r="F370" t="s">
        <v>3213</v>
      </c>
      <c r="G370" t="s">
        <v>3214</v>
      </c>
      <c r="H370" t="s">
        <v>4298</v>
      </c>
      <c r="I370" t="s">
        <v>859</v>
      </c>
      <c r="J370" t="s">
        <v>52</v>
      </c>
      <c r="K370">
        <v>3</v>
      </c>
      <c r="L370">
        <v>156</v>
      </c>
      <c r="M370">
        <v>312</v>
      </c>
    </row>
    <row r="371" spans="1:13">
      <c r="A371">
        <v>296</v>
      </c>
      <c r="B371" t="s">
        <v>4299</v>
      </c>
      <c r="C371">
        <v>15</v>
      </c>
      <c r="D371" t="s">
        <v>18</v>
      </c>
      <c r="E371">
        <v>2026</v>
      </c>
      <c r="F371" t="s">
        <v>4300</v>
      </c>
      <c r="G371" t="s">
        <v>4301</v>
      </c>
      <c r="H371" t="s">
        <v>4302</v>
      </c>
      <c r="I371" t="s">
        <v>859</v>
      </c>
      <c r="J371" t="s">
        <v>52</v>
      </c>
      <c r="K371">
        <v>3</v>
      </c>
      <c r="L371">
        <v>157</v>
      </c>
      <c r="M371">
        <v>313</v>
      </c>
    </row>
    <row r="372" spans="1:13">
      <c r="A372">
        <v>297</v>
      </c>
      <c r="B372" t="s">
        <v>4303</v>
      </c>
      <c r="C372">
        <v>15</v>
      </c>
      <c r="D372" t="s">
        <v>18</v>
      </c>
      <c r="E372">
        <v>2026</v>
      </c>
      <c r="F372" t="s">
        <v>4304</v>
      </c>
      <c r="G372" t="s">
        <v>4351</v>
      </c>
      <c r="H372" t="s">
        <v>1412</v>
      </c>
      <c r="I372" t="s">
        <v>859</v>
      </c>
      <c r="J372" t="s">
        <v>52</v>
      </c>
      <c r="K372">
        <v>3</v>
      </c>
      <c r="L372">
        <v>157</v>
      </c>
      <c r="M372">
        <v>314</v>
      </c>
    </row>
    <row r="373" spans="1:13">
      <c r="A373">
        <v>298</v>
      </c>
      <c r="B373" t="s">
        <v>1422</v>
      </c>
      <c r="C373">
        <v>15</v>
      </c>
      <c r="D373" t="s">
        <v>18</v>
      </c>
      <c r="E373">
        <v>2026</v>
      </c>
      <c r="F373" t="s">
        <v>4305</v>
      </c>
      <c r="G373" t="s">
        <v>1445</v>
      </c>
      <c r="H373" t="s">
        <v>4306</v>
      </c>
      <c r="I373" t="s">
        <v>859</v>
      </c>
      <c r="J373" t="s">
        <v>52</v>
      </c>
      <c r="K373">
        <v>3</v>
      </c>
      <c r="L373">
        <v>158</v>
      </c>
      <c r="M373">
        <v>315</v>
      </c>
    </row>
    <row r="374" spans="1:13">
      <c r="A374">
        <v>299</v>
      </c>
      <c r="B374" t="s">
        <v>4307</v>
      </c>
      <c r="C374">
        <v>15</v>
      </c>
      <c r="D374" t="s">
        <v>18</v>
      </c>
      <c r="E374">
        <v>2026</v>
      </c>
      <c r="F374" t="s">
        <v>4308</v>
      </c>
      <c r="G374" t="s">
        <v>1374</v>
      </c>
      <c r="H374" t="s">
        <v>4309</v>
      </c>
      <c r="I374" t="s">
        <v>859</v>
      </c>
      <c r="J374" t="s">
        <v>52</v>
      </c>
      <c r="K374">
        <v>3</v>
      </c>
      <c r="L374">
        <v>158</v>
      </c>
      <c r="M374">
        <v>316</v>
      </c>
    </row>
    <row r="375" spans="1:13">
      <c r="A375">
        <v>300</v>
      </c>
      <c r="B375" t="s">
        <v>4310</v>
      </c>
      <c r="C375">
        <v>15</v>
      </c>
      <c r="D375" t="s">
        <v>18</v>
      </c>
      <c r="E375">
        <v>2026</v>
      </c>
      <c r="F375" t="s">
        <v>4311</v>
      </c>
      <c r="G375" t="s">
        <v>4312</v>
      </c>
      <c r="H375" t="s">
        <v>4313</v>
      </c>
      <c r="I375" t="s">
        <v>859</v>
      </c>
      <c r="J375" t="s">
        <v>52</v>
      </c>
      <c r="K375">
        <v>3</v>
      </c>
      <c r="L375">
        <v>159</v>
      </c>
      <c r="M375">
        <v>317</v>
      </c>
    </row>
    <row r="376" spans="1:13">
      <c r="A376">
        <v>301</v>
      </c>
      <c r="B376" t="s">
        <v>4314</v>
      </c>
      <c r="C376">
        <v>15</v>
      </c>
      <c r="D376" t="s">
        <v>18</v>
      </c>
      <c r="E376">
        <v>2026</v>
      </c>
      <c r="F376" t="s">
        <v>4315</v>
      </c>
      <c r="G376" t="s">
        <v>3409</v>
      </c>
      <c r="H376" t="s">
        <v>4316</v>
      </c>
      <c r="I376" t="s">
        <v>859</v>
      </c>
      <c r="J376" t="s">
        <v>52</v>
      </c>
      <c r="K376">
        <v>3</v>
      </c>
      <c r="L376">
        <v>159</v>
      </c>
      <c r="M376">
        <v>318</v>
      </c>
    </row>
    <row r="377" spans="1:13">
      <c r="A377">
        <v>302</v>
      </c>
      <c r="B377" t="s">
        <v>4317</v>
      </c>
      <c r="C377">
        <v>15</v>
      </c>
      <c r="D377" t="s">
        <v>18</v>
      </c>
      <c r="E377">
        <v>2026</v>
      </c>
      <c r="F377" t="s">
        <v>4315</v>
      </c>
      <c r="G377" t="s">
        <v>3409</v>
      </c>
      <c r="H377" t="s">
        <v>4318</v>
      </c>
      <c r="I377" t="s">
        <v>859</v>
      </c>
      <c r="J377" t="s">
        <v>52</v>
      </c>
      <c r="K377">
        <v>3</v>
      </c>
      <c r="L377">
        <v>160</v>
      </c>
      <c r="M377">
        <v>319</v>
      </c>
    </row>
    <row r="378" spans="1:13">
      <c r="A378">
        <v>303</v>
      </c>
      <c r="B378" t="s">
        <v>4319</v>
      </c>
      <c r="C378">
        <v>15</v>
      </c>
      <c r="D378" t="s">
        <v>18</v>
      </c>
      <c r="E378">
        <v>2026</v>
      </c>
      <c r="F378" t="s">
        <v>4320</v>
      </c>
      <c r="G378" t="s">
        <v>4321</v>
      </c>
      <c r="H378" t="s">
        <v>4322</v>
      </c>
      <c r="I378" t="s">
        <v>859</v>
      </c>
      <c r="J378" t="s">
        <v>52</v>
      </c>
      <c r="K378">
        <v>3</v>
      </c>
      <c r="L378">
        <v>160</v>
      </c>
      <c r="M378">
        <v>320</v>
      </c>
    </row>
    <row r="379" spans="1:13">
      <c r="A379">
        <v>304</v>
      </c>
      <c r="B379" t="s">
        <v>4323</v>
      </c>
      <c r="C379">
        <v>15</v>
      </c>
      <c r="D379" t="s">
        <v>18</v>
      </c>
      <c r="E379">
        <v>2026</v>
      </c>
      <c r="F379" t="s">
        <v>4324</v>
      </c>
      <c r="G379" t="s">
        <v>4325</v>
      </c>
      <c r="H379" t="s">
        <v>4326</v>
      </c>
      <c r="I379" t="s">
        <v>859</v>
      </c>
      <c r="J379" t="s">
        <v>52</v>
      </c>
      <c r="K379">
        <v>3</v>
      </c>
      <c r="L379">
        <v>161</v>
      </c>
      <c r="M379">
        <v>321</v>
      </c>
    </row>
    <row r="380" spans="1:13">
      <c r="A380">
        <v>305</v>
      </c>
      <c r="B380" t="s">
        <v>4250</v>
      </c>
      <c r="C380">
        <v>15</v>
      </c>
      <c r="D380" t="s">
        <v>18</v>
      </c>
      <c r="E380">
        <v>2026</v>
      </c>
      <c r="F380" t="s">
        <v>3786</v>
      </c>
      <c r="G380" t="s">
        <v>3818</v>
      </c>
      <c r="H380" t="s">
        <v>4251</v>
      </c>
      <c r="I380" t="s">
        <v>859</v>
      </c>
      <c r="J380" t="s">
        <v>52</v>
      </c>
      <c r="K380">
        <v>3</v>
      </c>
      <c r="L380">
        <v>161</v>
      </c>
      <c r="M380">
        <v>322</v>
      </c>
    </row>
    <row r="381" spans="1:13">
      <c r="A381">
        <v>306</v>
      </c>
      <c r="B381" t="s">
        <v>4327</v>
      </c>
      <c r="C381">
        <v>15</v>
      </c>
      <c r="D381" t="s">
        <v>18</v>
      </c>
      <c r="E381">
        <v>2026</v>
      </c>
      <c r="F381" t="s">
        <v>4328</v>
      </c>
      <c r="G381" t="s">
        <v>4329</v>
      </c>
      <c r="H381" t="s">
        <v>4330</v>
      </c>
      <c r="I381" t="s">
        <v>859</v>
      </c>
      <c r="J381" t="s">
        <v>52</v>
      </c>
      <c r="K381">
        <v>3</v>
      </c>
      <c r="L381">
        <v>162</v>
      </c>
      <c r="M381">
        <v>323</v>
      </c>
    </row>
    <row r="382" spans="1:13">
      <c r="A382">
        <v>307</v>
      </c>
      <c r="B382" t="s">
        <v>4331</v>
      </c>
      <c r="C382">
        <v>15</v>
      </c>
      <c r="D382" t="s">
        <v>18</v>
      </c>
      <c r="E382">
        <v>2026</v>
      </c>
      <c r="F382" t="s">
        <v>4332</v>
      </c>
      <c r="G382" t="s">
        <v>4333</v>
      </c>
      <c r="H382" t="s">
        <v>4334</v>
      </c>
      <c r="I382" t="s">
        <v>859</v>
      </c>
      <c r="J382" t="s">
        <v>52</v>
      </c>
      <c r="K382">
        <v>3</v>
      </c>
      <c r="L382">
        <v>162</v>
      </c>
      <c r="M382">
        <v>324</v>
      </c>
    </row>
    <row r="383" spans="1:13">
      <c r="A383">
        <v>308</v>
      </c>
      <c r="B383" t="s">
        <v>4335</v>
      </c>
      <c r="C383">
        <v>15</v>
      </c>
      <c r="D383" t="s">
        <v>18</v>
      </c>
      <c r="E383">
        <v>2026</v>
      </c>
      <c r="F383" t="s">
        <v>4336</v>
      </c>
      <c r="G383" t="s">
        <v>4337</v>
      </c>
      <c r="H383" t="s">
        <v>4338</v>
      </c>
      <c r="I383" t="s">
        <v>859</v>
      </c>
      <c r="J383" t="s">
        <v>52</v>
      </c>
      <c r="K383">
        <v>3</v>
      </c>
      <c r="L383">
        <v>163</v>
      </c>
      <c r="M383">
        <v>325</v>
      </c>
    </row>
    <row r="384" spans="1:13">
      <c r="A384">
        <v>309</v>
      </c>
      <c r="B384" t="s">
        <v>4339</v>
      </c>
      <c r="C384">
        <v>15</v>
      </c>
      <c r="D384" t="s">
        <v>18</v>
      </c>
      <c r="E384">
        <v>2026</v>
      </c>
      <c r="F384" t="s">
        <v>4320</v>
      </c>
      <c r="G384" t="s">
        <v>4321</v>
      </c>
      <c r="H384" t="s">
        <v>3409</v>
      </c>
      <c r="I384" t="s">
        <v>859</v>
      </c>
      <c r="J384" t="s">
        <v>52</v>
      </c>
      <c r="K384">
        <v>3</v>
      </c>
      <c r="L384">
        <v>163</v>
      </c>
      <c r="M384">
        <v>326</v>
      </c>
    </row>
    <row r="385" spans="1:13">
      <c r="A385">
        <v>310</v>
      </c>
      <c r="B385" t="s">
        <v>4340</v>
      </c>
      <c r="C385">
        <v>15</v>
      </c>
      <c r="D385" t="s">
        <v>18</v>
      </c>
      <c r="E385">
        <v>2026</v>
      </c>
      <c r="F385" t="s">
        <v>4341</v>
      </c>
      <c r="G385" t="s">
        <v>4342</v>
      </c>
      <c r="H385" t="s">
        <v>4352</v>
      </c>
      <c r="I385" t="s">
        <v>859</v>
      </c>
      <c r="J385" t="s">
        <v>52</v>
      </c>
      <c r="K385">
        <v>3</v>
      </c>
      <c r="L385">
        <v>164</v>
      </c>
      <c r="M385">
        <v>327</v>
      </c>
    </row>
    <row r="386" spans="1:13">
      <c r="A386">
        <v>311</v>
      </c>
      <c r="B386" t="s">
        <v>4343</v>
      </c>
      <c r="C386">
        <v>15</v>
      </c>
      <c r="D386" t="s">
        <v>18</v>
      </c>
      <c r="E386">
        <v>2026</v>
      </c>
      <c r="F386" t="s">
        <v>4344</v>
      </c>
      <c r="G386" t="s">
        <v>4345</v>
      </c>
      <c r="H386" t="s">
        <v>3790</v>
      </c>
      <c r="I386" t="s">
        <v>859</v>
      </c>
      <c r="J386" t="s">
        <v>52</v>
      </c>
      <c r="K386">
        <v>3</v>
      </c>
      <c r="L386">
        <v>164</v>
      </c>
      <c r="M386">
        <v>328</v>
      </c>
    </row>
    <row r="387" spans="1:13">
      <c r="A387">
        <v>312</v>
      </c>
      <c r="B387" t="s">
        <v>4346</v>
      </c>
      <c r="C387">
        <v>15</v>
      </c>
      <c r="D387" t="s">
        <v>18</v>
      </c>
      <c r="E387">
        <v>2026</v>
      </c>
      <c r="F387" t="s">
        <v>4328</v>
      </c>
      <c r="G387" t="s">
        <v>4329</v>
      </c>
      <c r="H387" t="s">
        <v>4347</v>
      </c>
      <c r="I387" t="s">
        <v>859</v>
      </c>
      <c r="J387" t="s">
        <v>52</v>
      </c>
      <c r="K387">
        <v>3</v>
      </c>
      <c r="L387">
        <v>165</v>
      </c>
      <c r="M387">
        <v>329</v>
      </c>
    </row>
    <row r="388" spans="1:13">
      <c r="A388">
        <v>313</v>
      </c>
      <c r="B388" t="s">
        <v>4348</v>
      </c>
      <c r="C388">
        <v>15</v>
      </c>
      <c r="D388" t="s">
        <v>18</v>
      </c>
      <c r="E388">
        <v>2026</v>
      </c>
      <c r="F388" t="s">
        <v>4349</v>
      </c>
      <c r="G388" t="s">
        <v>4350</v>
      </c>
      <c r="H388" t="s">
        <v>4353</v>
      </c>
      <c r="I388" t="s">
        <v>859</v>
      </c>
      <c r="J388" t="s">
        <v>52</v>
      </c>
      <c r="K388">
        <v>3</v>
      </c>
      <c r="L388">
        <v>165</v>
      </c>
      <c r="M388">
        <v>330</v>
      </c>
    </row>
    <row r="390" spans="1:13" ht="17.25" customHeight="1">
      <c r="B390" s="24" t="s">
        <v>4354</v>
      </c>
    </row>
    <row r="391" spans="1:13">
      <c r="B391" s="22" t="s">
        <v>31</v>
      </c>
      <c r="C391" s="144" t="s">
        <v>10</v>
      </c>
      <c r="D391" s="144" t="s">
        <v>11</v>
      </c>
      <c r="E391" s="144" t="s">
        <v>12</v>
      </c>
      <c r="F391" s="2" t="s">
        <v>27</v>
      </c>
      <c r="G391" s="2" t="s">
        <v>26</v>
      </c>
      <c r="H391" s="2" t="s">
        <v>28</v>
      </c>
      <c r="I391" s="2" t="s">
        <v>39</v>
      </c>
      <c r="J391" s="2" t="s">
        <v>24</v>
      </c>
      <c r="K391" s="2" t="s">
        <v>0</v>
      </c>
      <c r="L391" s="2" t="s">
        <v>1</v>
      </c>
      <c r="M391" s="2" t="s">
        <v>2</v>
      </c>
    </row>
    <row r="392" spans="1:13">
      <c r="A392">
        <v>314</v>
      </c>
      <c r="B392" t="s">
        <v>4355</v>
      </c>
      <c r="C392">
        <v>15</v>
      </c>
      <c r="D392" t="s">
        <v>18</v>
      </c>
      <c r="E392">
        <v>2026</v>
      </c>
      <c r="F392" t="s">
        <v>4344</v>
      </c>
      <c r="G392" t="s">
        <v>2909</v>
      </c>
      <c r="H392" t="s">
        <v>4674</v>
      </c>
      <c r="I392" t="s">
        <v>859</v>
      </c>
      <c r="J392" t="s">
        <v>52</v>
      </c>
      <c r="K392">
        <v>3</v>
      </c>
      <c r="L392">
        <v>166</v>
      </c>
      <c r="M392">
        <v>331</v>
      </c>
    </row>
    <row r="393" spans="1:13">
      <c r="A393">
        <v>315</v>
      </c>
      <c r="B393" t="s">
        <v>4356</v>
      </c>
      <c r="C393">
        <v>15</v>
      </c>
      <c r="D393" t="s">
        <v>18</v>
      </c>
      <c r="E393">
        <v>2026</v>
      </c>
      <c r="F393" t="s">
        <v>2807</v>
      </c>
      <c r="G393" t="s">
        <v>3148</v>
      </c>
      <c r="H393" t="s">
        <v>4357</v>
      </c>
      <c r="I393" t="s">
        <v>859</v>
      </c>
      <c r="J393" t="s">
        <v>52</v>
      </c>
      <c r="K393">
        <v>3</v>
      </c>
      <c r="L393">
        <v>166</v>
      </c>
      <c r="M393">
        <v>332</v>
      </c>
    </row>
    <row r="394" spans="1:13">
      <c r="A394">
        <v>316</v>
      </c>
      <c r="B394" t="s">
        <v>4358</v>
      </c>
      <c r="C394">
        <v>15</v>
      </c>
      <c r="D394" t="s">
        <v>18</v>
      </c>
      <c r="E394">
        <v>2026</v>
      </c>
      <c r="F394" t="s">
        <v>783</v>
      </c>
      <c r="G394" t="s">
        <v>784</v>
      </c>
      <c r="H394" t="s">
        <v>4359</v>
      </c>
      <c r="I394" t="s">
        <v>859</v>
      </c>
      <c r="J394" t="s">
        <v>52</v>
      </c>
      <c r="K394">
        <v>3</v>
      </c>
      <c r="L394">
        <v>167</v>
      </c>
      <c r="M394">
        <v>333</v>
      </c>
    </row>
    <row r="395" spans="1:13">
      <c r="A395">
        <v>317</v>
      </c>
      <c r="B395" t="s">
        <v>667</v>
      </c>
      <c r="C395">
        <v>15</v>
      </c>
      <c r="D395" t="s">
        <v>18</v>
      </c>
      <c r="E395">
        <v>2026</v>
      </c>
      <c r="F395" t="s">
        <v>668</v>
      </c>
      <c r="G395" t="s">
        <v>669</v>
      </c>
      <c r="H395" t="s">
        <v>4360</v>
      </c>
      <c r="I395" t="s">
        <v>859</v>
      </c>
      <c r="J395" t="s">
        <v>52</v>
      </c>
      <c r="K395">
        <v>3</v>
      </c>
      <c r="L395">
        <v>167</v>
      </c>
      <c r="M395">
        <v>334</v>
      </c>
    </row>
    <row r="396" spans="1:13">
      <c r="A396">
        <v>318</v>
      </c>
      <c r="B396" t="s">
        <v>4361</v>
      </c>
      <c r="C396">
        <v>15</v>
      </c>
      <c r="D396" t="s">
        <v>18</v>
      </c>
      <c r="E396">
        <v>2026</v>
      </c>
      <c r="F396" t="s">
        <v>1356</v>
      </c>
      <c r="G396" t="s">
        <v>1357</v>
      </c>
      <c r="H396" t="s">
        <v>4362</v>
      </c>
      <c r="I396" t="s">
        <v>859</v>
      </c>
      <c r="J396" t="s">
        <v>52</v>
      </c>
      <c r="K396">
        <v>3</v>
      </c>
      <c r="L396">
        <v>168</v>
      </c>
      <c r="M396">
        <v>335</v>
      </c>
    </row>
    <row r="397" spans="1:13">
      <c r="A397">
        <v>319</v>
      </c>
      <c r="B397" s="151" t="s">
        <v>4681</v>
      </c>
      <c r="C397">
        <v>15</v>
      </c>
      <c r="D397" t="s">
        <v>18</v>
      </c>
      <c r="E397">
        <v>2026</v>
      </c>
      <c r="F397" t="s">
        <v>4363</v>
      </c>
      <c r="G397" s="12" t="s">
        <v>4676</v>
      </c>
      <c r="H397" s="12" t="s">
        <v>4364</v>
      </c>
      <c r="I397" t="s">
        <v>859</v>
      </c>
      <c r="J397" t="s">
        <v>52</v>
      </c>
      <c r="K397">
        <v>3</v>
      </c>
      <c r="L397">
        <v>168</v>
      </c>
      <c r="M397">
        <v>336</v>
      </c>
    </row>
    <row r="398" spans="1:13">
      <c r="A398">
        <v>320</v>
      </c>
      <c r="B398" s="12" t="s">
        <v>4365</v>
      </c>
      <c r="C398">
        <v>15</v>
      </c>
      <c r="D398" t="s">
        <v>18</v>
      </c>
      <c r="E398">
        <v>2026</v>
      </c>
      <c r="F398" s="12" t="s">
        <v>4366</v>
      </c>
      <c r="G398" s="12" t="s">
        <v>4367</v>
      </c>
      <c r="H398" s="12" t="s">
        <v>4368</v>
      </c>
      <c r="I398" t="s">
        <v>859</v>
      </c>
      <c r="J398" t="s">
        <v>52</v>
      </c>
      <c r="K398">
        <v>3</v>
      </c>
      <c r="L398">
        <v>169</v>
      </c>
      <c r="M398">
        <v>337</v>
      </c>
    </row>
    <row r="399" spans="1:13">
      <c r="A399">
        <v>321</v>
      </c>
      <c r="B399" s="12" t="s">
        <v>1424</v>
      </c>
      <c r="C399">
        <v>15</v>
      </c>
      <c r="D399" t="s">
        <v>18</v>
      </c>
      <c r="E399">
        <v>2026</v>
      </c>
      <c r="F399" s="12" t="s">
        <v>1448</v>
      </c>
      <c r="G399" s="12" t="s">
        <v>4369</v>
      </c>
      <c r="H399" s="61" t="s">
        <v>4370</v>
      </c>
      <c r="I399" t="s">
        <v>859</v>
      </c>
      <c r="J399" t="s">
        <v>52</v>
      </c>
      <c r="K399">
        <v>3</v>
      </c>
      <c r="L399">
        <v>169</v>
      </c>
      <c r="M399">
        <v>338</v>
      </c>
    </row>
    <row r="400" spans="1:13">
      <c r="A400">
        <v>322</v>
      </c>
      <c r="B400" s="12" t="s">
        <v>691</v>
      </c>
      <c r="C400">
        <v>15</v>
      </c>
      <c r="D400" t="s">
        <v>18</v>
      </c>
      <c r="E400">
        <v>2026</v>
      </c>
      <c r="F400" s="12" t="s">
        <v>692</v>
      </c>
      <c r="G400" s="12" t="s">
        <v>4371</v>
      </c>
      <c r="H400" s="12" t="s">
        <v>4372</v>
      </c>
      <c r="I400" t="s">
        <v>859</v>
      </c>
      <c r="J400" t="s">
        <v>52</v>
      </c>
      <c r="K400">
        <v>3</v>
      </c>
      <c r="L400">
        <v>170</v>
      </c>
      <c r="M400">
        <v>339</v>
      </c>
    </row>
    <row r="401" spans="1:13">
      <c r="A401">
        <v>323</v>
      </c>
      <c r="B401" s="12" t="s">
        <v>4373</v>
      </c>
      <c r="C401">
        <v>15</v>
      </c>
      <c r="D401" t="s">
        <v>18</v>
      </c>
      <c r="E401">
        <v>2026</v>
      </c>
      <c r="F401" s="12" t="s">
        <v>4374</v>
      </c>
      <c r="G401" s="12" t="s">
        <v>4375</v>
      </c>
      <c r="H401" s="12" t="s">
        <v>4376</v>
      </c>
      <c r="I401" t="s">
        <v>859</v>
      </c>
      <c r="J401" t="s">
        <v>52</v>
      </c>
      <c r="K401">
        <v>3</v>
      </c>
      <c r="L401">
        <v>170</v>
      </c>
      <c r="M401">
        <v>340</v>
      </c>
    </row>
    <row r="402" spans="1:13">
      <c r="A402">
        <v>324</v>
      </c>
      <c r="B402" s="12" t="s">
        <v>4266</v>
      </c>
      <c r="C402">
        <v>15</v>
      </c>
      <c r="D402" t="s">
        <v>18</v>
      </c>
      <c r="E402">
        <v>2026</v>
      </c>
      <c r="F402" s="12" t="s">
        <v>4267</v>
      </c>
      <c r="G402" s="12" t="s">
        <v>4268</v>
      </c>
      <c r="H402" s="12" t="s">
        <v>4269</v>
      </c>
      <c r="I402" t="s">
        <v>859</v>
      </c>
      <c r="J402" t="s">
        <v>52</v>
      </c>
      <c r="K402">
        <v>3</v>
      </c>
      <c r="L402">
        <v>171</v>
      </c>
      <c r="M402">
        <v>341</v>
      </c>
    </row>
    <row r="403" spans="1:13">
      <c r="A403">
        <v>325</v>
      </c>
      <c r="B403" s="12" t="s">
        <v>4377</v>
      </c>
      <c r="C403">
        <v>15</v>
      </c>
      <c r="D403" t="s">
        <v>18</v>
      </c>
      <c r="E403">
        <v>2026</v>
      </c>
      <c r="F403" s="12" t="s">
        <v>4378</v>
      </c>
      <c r="G403" s="12" t="s">
        <v>4379</v>
      </c>
      <c r="H403" s="12" t="s">
        <v>4380</v>
      </c>
      <c r="I403" t="s">
        <v>859</v>
      </c>
      <c r="J403" t="s">
        <v>52</v>
      </c>
      <c r="K403">
        <v>3</v>
      </c>
      <c r="L403">
        <v>171</v>
      </c>
      <c r="M403">
        <v>342</v>
      </c>
    </row>
    <row r="404" spans="1:13">
      <c r="A404">
        <v>326</v>
      </c>
      <c r="B404" s="12" t="s">
        <v>4381</v>
      </c>
      <c r="C404">
        <v>15</v>
      </c>
      <c r="D404" t="s">
        <v>18</v>
      </c>
      <c r="E404">
        <v>2026</v>
      </c>
      <c r="F404" s="12" t="s">
        <v>4382</v>
      </c>
      <c r="G404" s="12" t="s">
        <v>4383</v>
      </c>
      <c r="H404" s="12" t="s">
        <v>4384</v>
      </c>
      <c r="I404" t="s">
        <v>859</v>
      </c>
      <c r="J404" t="s">
        <v>52</v>
      </c>
      <c r="K404">
        <v>3</v>
      </c>
      <c r="L404">
        <v>172</v>
      </c>
      <c r="M404">
        <v>343</v>
      </c>
    </row>
    <row r="405" spans="1:13">
      <c r="A405">
        <v>327</v>
      </c>
      <c r="B405" s="12" t="s">
        <v>4385</v>
      </c>
      <c r="C405">
        <v>15</v>
      </c>
      <c r="D405" t="s">
        <v>18</v>
      </c>
      <c r="E405">
        <v>2026</v>
      </c>
      <c r="F405" s="12" t="s">
        <v>4386</v>
      </c>
      <c r="G405" s="12" t="s">
        <v>4387</v>
      </c>
      <c r="H405" s="12" t="s">
        <v>4388</v>
      </c>
      <c r="I405" t="s">
        <v>859</v>
      </c>
      <c r="J405" t="s">
        <v>52</v>
      </c>
      <c r="K405">
        <v>3</v>
      </c>
      <c r="L405">
        <v>172</v>
      </c>
      <c r="M405">
        <v>344</v>
      </c>
    </row>
    <row r="406" spans="1:13">
      <c r="A406">
        <v>328</v>
      </c>
      <c r="B406" s="12" t="s">
        <v>4389</v>
      </c>
      <c r="C406">
        <v>15</v>
      </c>
      <c r="D406" t="s">
        <v>18</v>
      </c>
      <c r="E406">
        <v>2026</v>
      </c>
      <c r="F406" s="12" t="s">
        <v>622</v>
      </c>
      <c r="G406" s="12" t="s">
        <v>623</v>
      </c>
      <c r="H406" s="12" t="s">
        <v>4390</v>
      </c>
      <c r="I406" t="s">
        <v>859</v>
      </c>
      <c r="J406" t="s">
        <v>52</v>
      </c>
      <c r="K406">
        <v>3</v>
      </c>
      <c r="L406">
        <v>173</v>
      </c>
      <c r="M406">
        <v>345</v>
      </c>
    </row>
    <row r="407" spans="1:13">
      <c r="A407">
        <v>329</v>
      </c>
      <c r="B407" s="12" t="s">
        <v>4391</v>
      </c>
      <c r="C407">
        <v>15</v>
      </c>
      <c r="D407" t="s">
        <v>18</v>
      </c>
      <c r="E407">
        <v>2026</v>
      </c>
      <c r="F407" s="12" t="s">
        <v>4392</v>
      </c>
      <c r="G407" s="12" t="s">
        <v>4680</v>
      </c>
      <c r="H407" s="12" t="s">
        <v>1321</v>
      </c>
      <c r="I407" t="s">
        <v>859</v>
      </c>
      <c r="J407" t="s">
        <v>52</v>
      </c>
      <c r="K407">
        <v>3</v>
      </c>
      <c r="L407">
        <v>173</v>
      </c>
      <c r="M407">
        <v>346</v>
      </c>
    </row>
    <row r="408" spans="1:13">
      <c r="A408">
        <v>330</v>
      </c>
      <c r="B408" s="12" t="s">
        <v>4393</v>
      </c>
      <c r="C408">
        <v>15</v>
      </c>
      <c r="D408" t="s">
        <v>18</v>
      </c>
      <c r="E408">
        <v>2026</v>
      </c>
      <c r="F408" s="12" t="s">
        <v>1016</v>
      </c>
      <c r="G408" s="12" t="s">
        <v>1017</v>
      </c>
      <c r="H408" s="12" t="s">
        <v>4394</v>
      </c>
      <c r="I408" t="s">
        <v>859</v>
      </c>
      <c r="J408" t="s">
        <v>52</v>
      </c>
      <c r="K408">
        <v>3</v>
      </c>
      <c r="L408">
        <v>174</v>
      </c>
      <c r="M408">
        <v>347</v>
      </c>
    </row>
    <row r="410" spans="1:13" ht="17.25" customHeight="1">
      <c r="B410" s="24" t="s">
        <v>4354</v>
      </c>
    </row>
    <row r="411" spans="1:13">
      <c r="B411" s="22" t="s">
        <v>31</v>
      </c>
      <c r="C411" s="145" t="s">
        <v>10</v>
      </c>
      <c r="D411" s="145" t="s">
        <v>11</v>
      </c>
      <c r="E411" s="145" t="s">
        <v>12</v>
      </c>
      <c r="F411" s="2" t="s">
        <v>27</v>
      </c>
      <c r="G411" s="2" t="s">
        <v>26</v>
      </c>
      <c r="H411" s="2" t="s">
        <v>28</v>
      </c>
      <c r="I411" s="2" t="s">
        <v>39</v>
      </c>
      <c r="J411" s="2" t="s">
        <v>24</v>
      </c>
      <c r="K411" s="2" t="s">
        <v>0</v>
      </c>
      <c r="L411" s="2" t="s">
        <v>1</v>
      </c>
      <c r="M411" s="2" t="s">
        <v>2</v>
      </c>
    </row>
    <row r="412" spans="1:13">
      <c r="A412">
        <v>331</v>
      </c>
      <c r="B412" t="s">
        <v>4396</v>
      </c>
      <c r="C412">
        <v>15</v>
      </c>
      <c r="D412" t="s">
        <v>18</v>
      </c>
      <c r="E412">
        <v>2026</v>
      </c>
      <c r="F412" t="s">
        <v>4397</v>
      </c>
      <c r="G412" t="s">
        <v>4398</v>
      </c>
      <c r="H412" t="s">
        <v>4682</v>
      </c>
      <c r="I412" t="s">
        <v>859</v>
      </c>
      <c r="J412" t="s">
        <v>52</v>
      </c>
      <c r="K412">
        <v>3</v>
      </c>
      <c r="L412">
        <v>174</v>
      </c>
      <c r="M412">
        <v>348</v>
      </c>
    </row>
    <row r="413" spans="1:13">
      <c r="A413">
        <v>332</v>
      </c>
      <c r="B413" t="s">
        <v>1419</v>
      </c>
      <c r="C413">
        <v>15</v>
      </c>
      <c r="D413" t="s">
        <v>18</v>
      </c>
      <c r="E413">
        <v>2026</v>
      </c>
      <c r="F413" t="s">
        <v>4399</v>
      </c>
      <c r="G413" t="s">
        <v>1437</v>
      </c>
      <c r="H413" t="s">
        <v>4400</v>
      </c>
      <c r="I413" t="s">
        <v>859</v>
      </c>
      <c r="J413" t="s">
        <v>52</v>
      </c>
      <c r="K413">
        <v>3</v>
      </c>
      <c r="L413">
        <v>175</v>
      </c>
      <c r="M413">
        <v>349</v>
      </c>
    </row>
    <row r="414" spans="1:13">
      <c r="A414">
        <v>333</v>
      </c>
      <c r="B414" t="s">
        <v>4402</v>
      </c>
      <c r="C414">
        <v>15</v>
      </c>
      <c r="D414" t="s">
        <v>18</v>
      </c>
      <c r="E414">
        <v>2026</v>
      </c>
      <c r="F414" t="s">
        <v>4401</v>
      </c>
      <c r="G414" t="s">
        <v>4403</v>
      </c>
      <c r="H414" t="s">
        <v>4404</v>
      </c>
      <c r="I414" t="s">
        <v>859</v>
      </c>
      <c r="J414" t="s">
        <v>52</v>
      </c>
      <c r="K414">
        <v>3</v>
      </c>
      <c r="L414">
        <v>175</v>
      </c>
      <c r="M414">
        <v>350</v>
      </c>
    </row>
    <row r="415" spans="1:13">
      <c r="A415">
        <v>334</v>
      </c>
      <c r="B415" t="s">
        <v>4405</v>
      </c>
      <c r="C415">
        <v>15</v>
      </c>
      <c r="D415" t="s">
        <v>18</v>
      </c>
      <c r="E415">
        <v>2026</v>
      </c>
      <c r="F415" t="s">
        <v>4406</v>
      </c>
      <c r="G415" t="s">
        <v>4407</v>
      </c>
      <c r="H415" t="s">
        <v>4408</v>
      </c>
      <c r="I415" t="s">
        <v>859</v>
      </c>
      <c r="J415" t="s">
        <v>52</v>
      </c>
      <c r="K415">
        <v>3</v>
      </c>
      <c r="L415">
        <v>176</v>
      </c>
      <c r="M415">
        <v>351</v>
      </c>
    </row>
    <row r="416" spans="1:13">
      <c r="A416">
        <v>335</v>
      </c>
      <c r="B416" t="s">
        <v>4231</v>
      </c>
      <c r="C416">
        <v>15</v>
      </c>
      <c r="D416" t="s">
        <v>18</v>
      </c>
      <c r="E416">
        <v>2026</v>
      </c>
      <c r="F416" t="s">
        <v>4232</v>
      </c>
      <c r="G416" t="s">
        <v>4233</v>
      </c>
      <c r="H416" t="s">
        <v>4409</v>
      </c>
      <c r="I416" t="s">
        <v>859</v>
      </c>
      <c r="J416" t="s">
        <v>52</v>
      </c>
      <c r="K416">
        <v>3</v>
      </c>
      <c r="L416">
        <v>176</v>
      </c>
      <c r="M416">
        <v>352</v>
      </c>
    </row>
    <row r="417" spans="1:13">
      <c r="A417">
        <v>336</v>
      </c>
      <c r="B417" t="s">
        <v>366</v>
      </c>
      <c r="C417">
        <v>15</v>
      </c>
      <c r="D417" t="s">
        <v>18</v>
      </c>
      <c r="E417">
        <v>2026</v>
      </c>
      <c r="F417" t="s">
        <v>367</v>
      </c>
      <c r="G417" t="s">
        <v>368</v>
      </c>
      <c r="H417" t="s">
        <v>4410</v>
      </c>
      <c r="I417" t="s">
        <v>859</v>
      </c>
      <c r="J417" t="s">
        <v>52</v>
      </c>
      <c r="K417">
        <v>3</v>
      </c>
      <c r="L417">
        <v>177</v>
      </c>
      <c r="M417">
        <v>353</v>
      </c>
    </row>
    <row r="418" spans="1:13">
      <c r="A418">
        <v>337</v>
      </c>
      <c r="B418" t="s">
        <v>4248</v>
      </c>
      <c r="C418">
        <v>15</v>
      </c>
      <c r="D418" t="s">
        <v>18</v>
      </c>
      <c r="E418">
        <v>2026</v>
      </c>
      <c r="F418" t="s">
        <v>4220</v>
      </c>
      <c r="G418" t="s">
        <v>4221</v>
      </c>
      <c r="H418" t="s">
        <v>4411</v>
      </c>
      <c r="I418" t="s">
        <v>859</v>
      </c>
      <c r="J418" t="s">
        <v>52</v>
      </c>
      <c r="K418">
        <v>3</v>
      </c>
      <c r="L418">
        <v>177</v>
      </c>
      <c r="M418">
        <v>354</v>
      </c>
    </row>
    <row r="419" spans="1:13">
      <c r="A419">
        <v>338</v>
      </c>
      <c r="B419" t="s">
        <v>4414</v>
      </c>
      <c r="C419">
        <v>15</v>
      </c>
      <c r="D419" t="s">
        <v>18</v>
      </c>
      <c r="E419">
        <v>2026</v>
      </c>
      <c r="F419" t="s">
        <v>4412</v>
      </c>
      <c r="G419" t="s">
        <v>4413</v>
      </c>
      <c r="H419" t="s">
        <v>4415</v>
      </c>
      <c r="I419" t="s">
        <v>859</v>
      </c>
      <c r="J419" t="s">
        <v>52</v>
      </c>
      <c r="K419">
        <v>3</v>
      </c>
      <c r="L419">
        <v>178</v>
      </c>
      <c r="M419">
        <v>355</v>
      </c>
    </row>
    <row r="420" spans="1:13">
      <c r="A420">
        <v>339</v>
      </c>
      <c r="B420" s="12" t="s">
        <v>4252</v>
      </c>
      <c r="C420">
        <v>15</v>
      </c>
      <c r="D420" t="s">
        <v>18</v>
      </c>
      <c r="E420">
        <v>2026</v>
      </c>
      <c r="F420" t="s">
        <v>4416</v>
      </c>
      <c r="G420" t="s">
        <v>304</v>
      </c>
      <c r="H420" t="s">
        <v>4254</v>
      </c>
      <c r="I420" t="s">
        <v>859</v>
      </c>
      <c r="J420" t="s">
        <v>52</v>
      </c>
      <c r="K420">
        <v>3</v>
      </c>
      <c r="L420">
        <v>178</v>
      </c>
      <c r="M420">
        <v>356</v>
      </c>
    </row>
    <row r="421" spans="1:13">
      <c r="A421">
        <v>340</v>
      </c>
      <c r="B421" t="s">
        <v>4258</v>
      </c>
      <c r="C421">
        <v>15</v>
      </c>
      <c r="D421" t="s">
        <v>18</v>
      </c>
      <c r="E421">
        <v>2026</v>
      </c>
      <c r="F421" t="s">
        <v>4259</v>
      </c>
      <c r="G421" t="s">
        <v>4260</v>
      </c>
      <c r="H421" t="s">
        <v>4417</v>
      </c>
      <c r="I421" t="s">
        <v>859</v>
      </c>
      <c r="J421" t="s">
        <v>52</v>
      </c>
      <c r="K421">
        <v>3</v>
      </c>
      <c r="L421">
        <v>179</v>
      </c>
      <c r="M421">
        <v>357</v>
      </c>
    </row>
    <row r="422" spans="1:13">
      <c r="A422">
        <v>341</v>
      </c>
      <c r="B422" t="s">
        <v>4418</v>
      </c>
      <c r="C422">
        <v>15</v>
      </c>
      <c r="D422" t="s">
        <v>18</v>
      </c>
      <c r="E422">
        <v>2026</v>
      </c>
      <c r="F422" t="s">
        <v>4220</v>
      </c>
      <c r="G422" t="s">
        <v>4221</v>
      </c>
      <c r="H422" t="s">
        <v>4419</v>
      </c>
      <c r="I422" t="s">
        <v>859</v>
      </c>
      <c r="J422" t="s">
        <v>52</v>
      </c>
      <c r="K422">
        <v>3</v>
      </c>
      <c r="L422">
        <v>179</v>
      </c>
      <c r="M422">
        <v>358</v>
      </c>
    </row>
    <row r="423" spans="1:13">
      <c r="A423">
        <v>342</v>
      </c>
      <c r="B423" t="s">
        <v>4420</v>
      </c>
      <c r="C423">
        <v>15</v>
      </c>
      <c r="D423" t="s">
        <v>18</v>
      </c>
      <c r="E423">
        <v>2026</v>
      </c>
      <c r="F423" t="s">
        <v>1842</v>
      </c>
      <c r="G423" t="s">
        <v>1843</v>
      </c>
      <c r="H423" t="s">
        <v>4421</v>
      </c>
      <c r="I423" t="s">
        <v>859</v>
      </c>
      <c r="J423" t="s">
        <v>52</v>
      </c>
      <c r="K423">
        <v>3</v>
      </c>
      <c r="L423">
        <v>180</v>
      </c>
      <c r="M423">
        <v>359</v>
      </c>
    </row>
    <row r="424" spans="1:13">
      <c r="A424">
        <v>343</v>
      </c>
      <c r="B424" t="s">
        <v>4422</v>
      </c>
      <c r="C424">
        <v>15</v>
      </c>
      <c r="D424" t="s">
        <v>18</v>
      </c>
      <c r="E424">
        <v>2026</v>
      </c>
      <c r="F424" t="s">
        <v>557</v>
      </c>
      <c r="G424" t="s">
        <v>4423</v>
      </c>
      <c r="H424" t="s">
        <v>4424</v>
      </c>
      <c r="I424" t="s">
        <v>859</v>
      </c>
      <c r="J424" t="s">
        <v>52</v>
      </c>
      <c r="K424">
        <v>3</v>
      </c>
      <c r="L424">
        <v>180</v>
      </c>
      <c r="M424">
        <v>360</v>
      </c>
    </row>
    <row r="425" spans="1:13">
      <c r="A425">
        <v>344</v>
      </c>
      <c r="B425" t="s">
        <v>4425</v>
      </c>
      <c r="C425">
        <v>15</v>
      </c>
      <c r="D425" t="s">
        <v>18</v>
      </c>
      <c r="E425">
        <v>2026</v>
      </c>
      <c r="F425" t="s">
        <v>1033</v>
      </c>
      <c r="G425" t="s">
        <v>1034</v>
      </c>
      <c r="H425" t="s">
        <v>4426</v>
      </c>
      <c r="I425" t="s">
        <v>859</v>
      </c>
      <c r="J425" t="s">
        <v>52</v>
      </c>
      <c r="K425">
        <v>3</v>
      </c>
      <c r="L425">
        <v>181</v>
      </c>
      <c r="M425">
        <v>361</v>
      </c>
    </row>
    <row r="426" spans="1:13">
      <c r="A426">
        <v>345</v>
      </c>
      <c r="B426" t="s">
        <v>4427</v>
      </c>
      <c r="C426">
        <v>15</v>
      </c>
      <c r="D426" t="s">
        <v>18</v>
      </c>
      <c r="E426">
        <v>2026</v>
      </c>
      <c r="F426" t="s">
        <v>918</v>
      </c>
      <c r="G426" t="s">
        <v>919</v>
      </c>
      <c r="H426" t="s">
        <v>920</v>
      </c>
      <c r="I426" t="s">
        <v>859</v>
      </c>
      <c r="J426" t="s">
        <v>52</v>
      </c>
      <c r="K426">
        <v>3</v>
      </c>
      <c r="L426">
        <v>181</v>
      </c>
      <c r="M426">
        <v>362</v>
      </c>
    </row>
    <row r="428" spans="1:13" ht="17.25" customHeight="1">
      <c r="B428" s="24" t="s">
        <v>4472</v>
      </c>
    </row>
    <row r="429" spans="1:13">
      <c r="B429" s="22" t="s">
        <v>31</v>
      </c>
      <c r="C429" s="147" t="s">
        <v>10</v>
      </c>
      <c r="D429" s="147" t="s">
        <v>11</v>
      </c>
      <c r="E429" s="147" t="s">
        <v>12</v>
      </c>
      <c r="F429" s="2" t="s">
        <v>27</v>
      </c>
      <c r="G429" s="2" t="s">
        <v>26</v>
      </c>
      <c r="H429" s="2" t="s">
        <v>28</v>
      </c>
      <c r="I429" s="2" t="s">
        <v>39</v>
      </c>
      <c r="J429" s="2" t="s">
        <v>24</v>
      </c>
      <c r="K429" s="2" t="s">
        <v>0</v>
      </c>
      <c r="L429" s="2" t="s">
        <v>1</v>
      </c>
      <c r="M429" s="2" t="s">
        <v>2</v>
      </c>
    </row>
    <row r="430" spans="1:13">
      <c r="A430">
        <v>346</v>
      </c>
      <c r="B430" t="s">
        <v>4473</v>
      </c>
      <c r="C430">
        <v>15</v>
      </c>
      <c r="D430" t="s">
        <v>18</v>
      </c>
      <c r="E430">
        <v>2026</v>
      </c>
      <c r="F430" t="s">
        <v>4095</v>
      </c>
      <c r="G430" t="s">
        <v>4097</v>
      </c>
      <c r="H430" t="s">
        <v>4474</v>
      </c>
      <c r="I430" t="s">
        <v>859</v>
      </c>
      <c r="J430" t="s">
        <v>52</v>
      </c>
      <c r="K430">
        <v>3</v>
      </c>
      <c r="L430">
        <v>182</v>
      </c>
      <c r="M430">
        <v>363</v>
      </c>
    </row>
    <row r="431" spans="1:13">
      <c r="A431">
        <v>347</v>
      </c>
      <c r="B431" t="s">
        <v>4102</v>
      </c>
      <c r="C431">
        <v>15</v>
      </c>
      <c r="D431" t="s">
        <v>18</v>
      </c>
      <c r="E431">
        <v>2026</v>
      </c>
      <c r="F431" t="s">
        <v>4103</v>
      </c>
      <c r="G431" t="s">
        <v>4104</v>
      </c>
      <c r="H431" t="s">
        <v>4105</v>
      </c>
      <c r="I431" t="s">
        <v>859</v>
      </c>
      <c r="J431" t="s">
        <v>52</v>
      </c>
      <c r="K431">
        <v>3</v>
      </c>
      <c r="L431">
        <v>182</v>
      </c>
      <c r="M431">
        <v>364</v>
      </c>
    </row>
    <row r="432" spans="1:13">
      <c r="A432">
        <v>348</v>
      </c>
      <c r="B432" t="s">
        <v>4475</v>
      </c>
      <c r="C432">
        <v>15</v>
      </c>
      <c r="D432" t="s">
        <v>18</v>
      </c>
      <c r="E432">
        <v>2026</v>
      </c>
      <c r="F432" t="s">
        <v>4476</v>
      </c>
      <c r="G432" t="s">
        <v>256</v>
      </c>
      <c r="H432" t="s">
        <v>4477</v>
      </c>
      <c r="I432" t="s">
        <v>859</v>
      </c>
      <c r="J432" t="s">
        <v>52</v>
      </c>
      <c r="K432">
        <v>3</v>
      </c>
      <c r="L432">
        <v>183</v>
      </c>
      <c r="M432">
        <v>365</v>
      </c>
    </row>
    <row r="433" spans="1:13">
      <c r="A433">
        <v>349</v>
      </c>
      <c r="B433" t="s">
        <v>4478</v>
      </c>
      <c r="C433">
        <v>15</v>
      </c>
      <c r="D433" t="s">
        <v>18</v>
      </c>
      <c r="E433">
        <v>2026</v>
      </c>
      <c r="F433" t="s">
        <v>3092</v>
      </c>
      <c r="G433" t="s">
        <v>4482</v>
      </c>
      <c r="H433" t="s">
        <v>4483</v>
      </c>
      <c r="I433" t="s">
        <v>859</v>
      </c>
      <c r="J433" t="s">
        <v>52</v>
      </c>
      <c r="K433">
        <v>3</v>
      </c>
      <c r="L433">
        <v>183</v>
      </c>
      <c r="M433">
        <v>366</v>
      </c>
    </row>
    <row r="434" spans="1:13">
      <c r="A434">
        <v>350</v>
      </c>
      <c r="B434" t="s">
        <v>4479</v>
      </c>
      <c r="C434">
        <v>15</v>
      </c>
      <c r="D434" t="s">
        <v>18</v>
      </c>
      <c r="E434">
        <v>2026</v>
      </c>
      <c r="F434" t="s">
        <v>4484</v>
      </c>
      <c r="G434" t="s">
        <v>2501</v>
      </c>
      <c r="H434" t="s">
        <v>2502</v>
      </c>
      <c r="I434" t="s">
        <v>859</v>
      </c>
      <c r="J434" t="s">
        <v>52</v>
      </c>
      <c r="K434">
        <v>3</v>
      </c>
      <c r="L434">
        <v>184</v>
      </c>
      <c r="M434">
        <v>367</v>
      </c>
    </row>
    <row r="435" spans="1:13">
      <c r="A435">
        <v>351</v>
      </c>
      <c r="B435" t="s">
        <v>4480</v>
      </c>
      <c r="C435">
        <v>15</v>
      </c>
      <c r="D435" t="s">
        <v>18</v>
      </c>
      <c r="E435">
        <v>2026</v>
      </c>
      <c r="F435" t="s">
        <v>4485</v>
      </c>
      <c r="G435" t="s">
        <v>2047</v>
      </c>
      <c r="H435" t="s">
        <v>4486</v>
      </c>
      <c r="I435" t="s">
        <v>859</v>
      </c>
      <c r="J435" t="s">
        <v>52</v>
      </c>
      <c r="K435">
        <v>3</v>
      </c>
      <c r="L435">
        <v>184</v>
      </c>
      <c r="M435">
        <v>368</v>
      </c>
    </row>
    <row r="436" spans="1:13">
      <c r="A436">
        <v>352</v>
      </c>
      <c r="B436" t="s">
        <v>4481</v>
      </c>
      <c r="C436">
        <v>15</v>
      </c>
      <c r="D436" t="s">
        <v>18</v>
      </c>
      <c r="E436">
        <v>2026</v>
      </c>
      <c r="F436" t="s">
        <v>1539</v>
      </c>
      <c r="G436" t="s">
        <v>1540</v>
      </c>
      <c r="H436" t="s">
        <v>1321</v>
      </c>
      <c r="I436" t="s">
        <v>859</v>
      </c>
      <c r="J436" t="s">
        <v>52</v>
      </c>
      <c r="K436">
        <v>3</v>
      </c>
      <c r="L436">
        <v>185</v>
      </c>
      <c r="M436">
        <v>369</v>
      </c>
    </row>
    <row r="437" spans="1:13">
      <c r="A437">
        <v>353</v>
      </c>
      <c r="B437" t="s">
        <v>1489</v>
      </c>
      <c r="C437">
        <v>15</v>
      </c>
      <c r="D437" t="s">
        <v>18</v>
      </c>
      <c r="E437">
        <v>2026</v>
      </c>
      <c r="F437" t="s">
        <v>1490</v>
      </c>
      <c r="G437" t="s">
        <v>4487</v>
      </c>
      <c r="H437" t="s">
        <v>4488</v>
      </c>
      <c r="I437" t="s">
        <v>859</v>
      </c>
      <c r="J437" t="s">
        <v>52</v>
      </c>
      <c r="K437">
        <v>3</v>
      </c>
      <c r="L437">
        <v>185</v>
      </c>
      <c r="M437">
        <v>370</v>
      </c>
    </row>
    <row r="438" spans="1:13">
      <c r="A438">
        <v>354</v>
      </c>
      <c r="B438" t="s">
        <v>4489</v>
      </c>
      <c r="C438">
        <v>15</v>
      </c>
      <c r="D438" t="s">
        <v>18</v>
      </c>
      <c r="E438">
        <v>2026</v>
      </c>
      <c r="F438" t="s">
        <v>248</v>
      </c>
      <c r="G438" t="s">
        <v>4490</v>
      </c>
      <c r="H438" t="s">
        <v>4505</v>
      </c>
      <c r="I438" t="s">
        <v>859</v>
      </c>
      <c r="J438" t="s">
        <v>52</v>
      </c>
      <c r="K438">
        <v>3</v>
      </c>
      <c r="L438">
        <v>186</v>
      </c>
      <c r="M438">
        <v>371</v>
      </c>
    </row>
    <row r="439" spans="1:13">
      <c r="A439">
        <v>355</v>
      </c>
      <c r="B439" t="s">
        <v>4491</v>
      </c>
      <c r="C439">
        <v>15</v>
      </c>
      <c r="D439" t="s">
        <v>18</v>
      </c>
      <c r="E439">
        <v>2026</v>
      </c>
      <c r="F439" t="s">
        <v>4492</v>
      </c>
      <c r="G439" t="s">
        <v>4158</v>
      </c>
      <c r="H439" t="s">
        <v>4493</v>
      </c>
      <c r="I439" t="s">
        <v>859</v>
      </c>
      <c r="J439" t="s">
        <v>52</v>
      </c>
      <c r="K439">
        <v>3</v>
      </c>
      <c r="L439">
        <v>186</v>
      </c>
      <c r="M439">
        <v>372</v>
      </c>
    </row>
    <row r="440" spans="1:13">
      <c r="A440">
        <v>356</v>
      </c>
      <c r="B440" t="s">
        <v>4494</v>
      </c>
      <c r="C440">
        <v>15</v>
      </c>
      <c r="D440" t="s">
        <v>18</v>
      </c>
      <c r="E440">
        <v>2026</v>
      </c>
      <c r="F440" t="s">
        <v>4495</v>
      </c>
      <c r="G440" t="s">
        <v>3128</v>
      </c>
      <c r="H440" t="s">
        <v>4496</v>
      </c>
      <c r="I440" t="s">
        <v>859</v>
      </c>
      <c r="J440" t="s">
        <v>52</v>
      </c>
      <c r="K440">
        <v>3</v>
      </c>
      <c r="L440">
        <v>187</v>
      </c>
      <c r="M440">
        <v>373</v>
      </c>
    </row>
    <row r="441" spans="1:13">
      <c r="A441">
        <v>357</v>
      </c>
      <c r="B441" t="s">
        <v>4497</v>
      </c>
      <c r="C441">
        <v>15</v>
      </c>
      <c r="D441" t="s">
        <v>18</v>
      </c>
      <c r="E441">
        <v>2026</v>
      </c>
      <c r="F441" t="s">
        <v>4498</v>
      </c>
      <c r="G441" t="s">
        <v>314</v>
      </c>
      <c r="H441" t="s">
        <v>1552</v>
      </c>
      <c r="I441" t="s">
        <v>859</v>
      </c>
      <c r="J441" t="s">
        <v>52</v>
      </c>
      <c r="K441">
        <v>3</v>
      </c>
      <c r="L441">
        <v>187</v>
      </c>
      <c r="M441">
        <v>374</v>
      </c>
    </row>
    <row r="442" spans="1:13">
      <c r="A442">
        <v>358</v>
      </c>
      <c r="B442" t="s">
        <v>4499</v>
      </c>
      <c r="C442">
        <v>15</v>
      </c>
      <c r="D442" t="s">
        <v>18</v>
      </c>
      <c r="E442">
        <v>2026</v>
      </c>
      <c r="F442" t="s">
        <v>4143</v>
      </c>
      <c r="G442" t="s">
        <v>4500</v>
      </c>
      <c r="H442" t="s">
        <v>4145</v>
      </c>
      <c r="I442" t="s">
        <v>859</v>
      </c>
      <c r="J442" t="s">
        <v>52</v>
      </c>
      <c r="K442">
        <v>3</v>
      </c>
      <c r="L442">
        <v>188</v>
      </c>
      <c r="M442">
        <v>375</v>
      </c>
    </row>
    <row r="443" spans="1:13">
      <c r="A443">
        <v>359</v>
      </c>
      <c r="B443" t="s">
        <v>4183</v>
      </c>
      <c r="C443">
        <v>15</v>
      </c>
      <c r="D443" t="s">
        <v>18</v>
      </c>
      <c r="E443">
        <v>2026</v>
      </c>
      <c r="F443" t="s">
        <v>4184</v>
      </c>
      <c r="G443" t="s">
        <v>4185</v>
      </c>
      <c r="H443" t="s">
        <v>4186</v>
      </c>
      <c r="I443" t="s">
        <v>859</v>
      </c>
      <c r="J443" t="s">
        <v>52</v>
      </c>
      <c r="K443">
        <v>3</v>
      </c>
      <c r="L443">
        <v>188</v>
      </c>
      <c r="M443">
        <v>376</v>
      </c>
    </row>
    <row r="444" spans="1:13">
      <c r="A444">
        <v>360</v>
      </c>
      <c r="B444" t="s">
        <v>4501</v>
      </c>
      <c r="C444">
        <v>15</v>
      </c>
      <c r="D444" t="s">
        <v>18</v>
      </c>
      <c r="E444">
        <v>2026</v>
      </c>
      <c r="F444" t="s">
        <v>4502</v>
      </c>
      <c r="G444" t="s">
        <v>4503</v>
      </c>
      <c r="H444" t="s">
        <v>4504</v>
      </c>
      <c r="I444" t="s">
        <v>859</v>
      </c>
      <c r="J444" t="s">
        <v>52</v>
      </c>
      <c r="K444">
        <v>3</v>
      </c>
      <c r="L444">
        <v>189</v>
      </c>
      <c r="M444">
        <v>377</v>
      </c>
    </row>
    <row r="446" spans="1:13" ht="17.25" customHeight="1">
      <c r="B446" s="24" t="s">
        <v>4354</v>
      </c>
    </row>
    <row r="447" spans="1:13">
      <c r="B447" s="22" t="s">
        <v>31</v>
      </c>
      <c r="C447" s="148" t="s">
        <v>10</v>
      </c>
      <c r="D447" s="148" t="s">
        <v>11</v>
      </c>
      <c r="E447" s="148" t="s">
        <v>12</v>
      </c>
      <c r="F447" s="2" t="s">
        <v>27</v>
      </c>
      <c r="G447" s="2" t="s">
        <v>26</v>
      </c>
      <c r="H447" s="2" t="s">
        <v>28</v>
      </c>
      <c r="I447" s="2" t="s">
        <v>39</v>
      </c>
      <c r="J447" s="2" t="s">
        <v>24</v>
      </c>
      <c r="K447" s="2" t="s">
        <v>0</v>
      </c>
      <c r="L447" s="2" t="s">
        <v>1</v>
      </c>
      <c r="M447" s="2" t="s">
        <v>2</v>
      </c>
    </row>
    <row r="448" spans="1:13">
      <c r="A448">
        <v>361</v>
      </c>
      <c r="B448" t="s">
        <v>1416</v>
      </c>
      <c r="C448">
        <v>15</v>
      </c>
      <c r="D448" t="s">
        <v>18</v>
      </c>
      <c r="E448">
        <v>2026</v>
      </c>
      <c r="F448" t="s">
        <v>1430</v>
      </c>
      <c r="G448" t="s">
        <v>1431</v>
      </c>
      <c r="H448" t="s">
        <v>1439</v>
      </c>
      <c r="I448" t="s">
        <v>859</v>
      </c>
      <c r="J448" t="s">
        <v>52</v>
      </c>
      <c r="K448">
        <v>3</v>
      </c>
      <c r="L448">
        <v>189</v>
      </c>
      <c r="M448">
        <v>378</v>
      </c>
    </row>
    <row r="449" spans="1:13">
      <c r="A449">
        <v>362</v>
      </c>
      <c r="B449" s="12" t="s">
        <v>4506</v>
      </c>
      <c r="C449">
        <v>15</v>
      </c>
      <c r="D449" t="s">
        <v>18</v>
      </c>
      <c r="E449">
        <v>2026</v>
      </c>
      <c r="F449" t="s">
        <v>4507</v>
      </c>
      <c r="G449" t="s">
        <v>4508</v>
      </c>
      <c r="I449" t="s">
        <v>859</v>
      </c>
      <c r="J449" t="s">
        <v>52</v>
      </c>
      <c r="K449">
        <v>3</v>
      </c>
      <c r="L449" s="63">
        <v>190</v>
      </c>
      <c r="M449" s="63">
        <v>379</v>
      </c>
    </row>
    <row r="450" spans="1:13">
      <c r="A450">
        <v>363</v>
      </c>
      <c r="B450" s="12" t="s">
        <v>4509</v>
      </c>
      <c r="C450">
        <v>15</v>
      </c>
      <c r="D450" t="s">
        <v>18</v>
      </c>
      <c r="E450">
        <v>2026</v>
      </c>
      <c r="F450" t="s">
        <v>4510</v>
      </c>
      <c r="G450" t="s">
        <v>4511</v>
      </c>
      <c r="H450" t="s">
        <v>941</v>
      </c>
      <c r="I450" t="s">
        <v>859</v>
      </c>
      <c r="J450" t="s">
        <v>52</v>
      </c>
      <c r="K450">
        <v>3</v>
      </c>
      <c r="L450">
        <v>190</v>
      </c>
      <c r="M450">
        <v>380</v>
      </c>
    </row>
    <row r="451" spans="1:13">
      <c r="A451">
        <v>364</v>
      </c>
      <c r="B451" s="12" t="s">
        <v>4512</v>
      </c>
      <c r="C451">
        <v>15</v>
      </c>
      <c r="D451" t="s">
        <v>18</v>
      </c>
      <c r="E451">
        <v>2026</v>
      </c>
      <c r="F451" t="s">
        <v>4513</v>
      </c>
      <c r="G451" t="s">
        <v>4415</v>
      </c>
      <c r="H451" t="s">
        <v>4276</v>
      </c>
      <c r="I451" t="s">
        <v>859</v>
      </c>
      <c r="J451" t="s">
        <v>52</v>
      </c>
      <c r="K451">
        <v>3</v>
      </c>
      <c r="L451">
        <v>191</v>
      </c>
      <c r="M451">
        <v>381</v>
      </c>
    </row>
    <row r="452" spans="1:13">
      <c r="A452">
        <v>365</v>
      </c>
      <c r="B452" s="12" t="s">
        <v>4514</v>
      </c>
      <c r="C452">
        <v>15</v>
      </c>
      <c r="D452" t="s">
        <v>18</v>
      </c>
      <c r="E452">
        <v>2026</v>
      </c>
      <c r="F452" t="s">
        <v>4515</v>
      </c>
      <c r="G452" t="s">
        <v>4516</v>
      </c>
      <c r="H452" t="s">
        <v>881</v>
      </c>
      <c r="I452" t="s">
        <v>859</v>
      </c>
      <c r="J452" t="s">
        <v>52</v>
      </c>
      <c r="K452">
        <v>3</v>
      </c>
      <c r="L452">
        <v>191</v>
      </c>
      <c r="M452" s="63">
        <v>382</v>
      </c>
    </row>
    <row r="453" spans="1:13">
      <c r="A453">
        <v>366</v>
      </c>
      <c r="B453" s="12" t="s">
        <v>1420</v>
      </c>
      <c r="C453">
        <v>15</v>
      </c>
      <c r="D453" t="s">
        <v>18</v>
      </c>
      <c r="E453">
        <v>2026</v>
      </c>
      <c r="F453" t="s">
        <v>1440</v>
      </c>
      <c r="G453" t="s">
        <v>1441</v>
      </c>
      <c r="H453" t="s">
        <v>4517</v>
      </c>
      <c r="I453" t="s">
        <v>859</v>
      </c>
      <c r="J453" t="s">
        <v>52</v>
      </c>
      <c r="K453">
        <v>3</v>
      </c>
      <c r="L453">
        <v>192</v>
      </c>
      <c r="M453">
        <v>383</v>
      </c>
    </row>
    <row r="454" spans="1:13">
      <c r="A454">
        <v>367</v>
      </c>
      <c r="B454" s="12" t="s">
        <v>4518</v>
      </c>
      <c r="C454">
        <v>15</v>
      </c>
      <c r="D454" t="s">
        <v>18</v>
      </c>
      <c r="E454">
        <v>2026</v>
      </c>
      <c r="F454" t="s">
        <v>4519</v>
      </c>
      <c r="G454" t="s">
        <v>4520</v>
      </c>
      <c r="H454" t="s">
        <v>4521</v>
      </c>
      <c r="I454" t="s">
        <v>859</v>
      </c>
      <c r="J454" t="s">
        <v>52</v>
      </c>
      <c r="K454">
        <v>3</v>
      </c>
      <c r="L454">
        <v>192</v>
      </c>
      <c r="M454">
        <v>384</v>
      </c>
    </row>
    <row r="455" spans="1:13">
      <c r="A455">
        <v>368</v>
      </c>
      <c r="B455" s="12" t="s">
        <v>347</v>
      </c>
      <c r="C455">
        <v>15</v>
      </c>
      <c r="D455" t="s">
        <v>18</v>
      </c>
      <c r="E455">
        <v>2026</v>
      </c>
      <c r="F455" t="s">
        <v>348</v>
      </c>
      <c r="G455" t="s">
        <v>349</v>
      </c>
      <c r="H455" t="s">
        <v>381</v>
      </c>
      <c r="I455" t="s">
        <v>859</v>
      </c>
      <c r="J455" t="s">
        <v>52</v>
      </c>
      <c r="K455">
        <v>3</v>
      </c>
      <c r="L455">
        <v>193</v>
      </c>
      <c r="M455" s="63">
        <v>385</v>
      </c>
    </row>
    <row r="456" spans="1:13">
      <c r="A456">
        <v>369</v>
      </c>
      <c r="B456" s="12" t="s">
        <v>4522</v>
      </c>
      <c r="C456">
        <v>15</v>
      </c>
      <c r="D456" t="s">
        <v>18</v>
      </c>
      <c r="E456">
        <v>2026</v>
      </c>
      <c r="F456" t="s">
        <v>4523</v>
      </c>
      <c r="G456" t="s">
        <v>4524</v>
      </c>
      <c r="H456" t="s">
        <v>4525</v>
      </c>
      <c r="I456" t="s">
        <v>859</v>
      </c>
      <c r="J456" t="s">
        <v>52</v>
      </c>
      <c r="K456">
        <v>3</v>
      </c>
      <c r="L456">
        <v>193</v>
      </c>
      <c r="M456">
        <v>386</v>
      </c>
    </row>
    <row r="457" spans="1:13">
      <c r="A457">
        <v>370</v>
      </c>
      <c r="B457" s="12" t="s">
        <v>4526</v>
      </c>
      <c r="C457">
        <v>15</v>
      </c>
      <c r="D457" t="s">
        <v>18</v>
      </c>
      <c r="E457">
        <v>2026</v>
      </c>
      <c r="F457" t="s">
        <v>4244</v>
      </c>
      <c r="G457" t="s">
        <v>4245</v>
      </c>
      <c r="H457" t="s">
        <v>4527</v>
      </c>
      <c r="I457" t="s">
        <v>859</v>
      </c>
      <c r="J457" t="s">
        <v>52</v>
      </c>
      <c r="K457">
        <v>3</v>
      </c>
      <c r="L457">
        <v>194</v>
      </c>
      <c r="M457">
        <v>387</v>
      </c>
    </row>
    <row r="458" spans="1:13">
      <c r="A458">
        <v>371</v>
      </c>
      <c r="B458" s="12" t="s">
        <v>4247</v>
      </c>
      <c r="C458">
        <v>15</v>
      </c>
      <c r="D458" t="s">
        <v>18</v>
      </c>
      <c r="E458">
        <v>2026</v>
      </c>
      <c r="F458" t="s">
        <v>4236</v>
      </c>
      <c r="G458" t="s">
        <v>4237</v>
      </c>
      <c r="H458" t="s">
        <v>950</v>
      </c>
      <c r="I458" t="s">
        <v>859</v>
      </c>
      <c r="J458" t="s">
        <v>52</v>
      </c>
      <c r="K458">
        <v>3</v>
      </c>
      <c r="L458">
        <v>194</v>
      </c>
      <c r="M458" s="63">
        <v>388</v>
      </c>
    </row>
    <row r="459" spans="1:13">
      <c r="A459">
        <v>372</v>
      </c>
      <c r="B459" s="12" t="s">
        <v>4528</v>
      </c>
      <c r="C459">
        <v>15</v>
      </c>
      <c r="D459" t="s">
        <v>18</v>
      </c>
      <c r="E459">
        <v>2026</v>
      </c>
      <c r="F459" t="s">
        <v>1815</v>
      </c>
      <c r="G459" t="s">
        <v>2114</v>
      </c>
      <c r="H459" t="s">
        <v>1817</v>
      </c>
      <c r="I459" t="s">
        <v>859</v>
      </c>
      <c r="J459" t="s">
        <v>52</v>
      </c>
      <c r="K459">
        <v>3</v>
      </c>
      <c r="L459">
        <v>195</v>
      </c>
      <c r="M459">
        <v>389</v>
      </c>
    </row>
    <row r="460" spans="1:13">
      <c r="A460">
        <v>373</v>
      </c>
      <c r="B460" s="12" t="s">
        <v>4529</v>
      </c>
      <c r="C460">
        <v>15</v>
      </c>
      <c r="D460" t="s">
        <v>18</v>
      </c>
      <c r="E460">
        <v>2026</v>
      </c>
      <c r="F460" t="s">
        <v>4530</v>
      </c>
      <c r="G460" t="s">
        <v>4531</v>
      </c>
      <c r="H460" t="s">
        <v>4532</v>
      </c>
      <c r="I460" t="s">
        <v>859</v>
      </c>
      <c r="J460" t="s">
        <v>52</v>
      </c>
      <c r="K460">
        <v>3</v>
      </c>
      <c r="L460">
        <v>195</v>
      </c>
      <c r="M460">
        <v>390</v>
      </c>
    </row>
    <row r="461" spans="1:13">
      <c r="A461">
        <v>374</v>
      </c>
      <c r="B461" s="12" t="s">
        <v>4533</v>
      </c>
      <c r="C461">
        <v>15</v>
      </c>
      <c r="D461" t="s">
        <v>18</v>
      </c>
      <c r="E461">
        <v>2026</v>
      </c>
      <c r="F461" t="s">
        <v>4534</v>
      </c>
      <c r="G461" t="s">
        <v>4535</v>
      </c>
      <c r="H461" t="s">
        <v>4536</v>
      </c>
      <c r="I461" t="s">
        <v>859</v>
      </c>
      <c r="J461" t="s">
        <v>52</v>
      </c>
      <c r="K461">
        <v>3</v>
      </c>
      <c r="L461">
        <v>196</v>
      </c>
      <c r="M461" s="63">
        <v>391</v>
      </c>
    </row>
    <row r="462" spans="1:13">
      <c r="A462">
        <v>375</v>
      </c>
      <c r="B462" s="12" t="s">
        <v>4537</v>
      </c>
      <c r="C462">
        <v>15</v>
      </c>
      <c r="D462" t="s">
        <v>18</v>
      </c>
      <c r="E462">
        <v>2026</v>
      </c>
      <c r="F462" t="s">
        <v>4087</v>
      </c>
      <c r="G462" t="s">
        <v>4088</v>
      </c>
      <c r="H462" t="s">
        <v>4089</v>
      </c>
      <c r="I462" t="s">
        <v>859</v>
      </c>
      <c r="J462" t="s">
        <v>52</v>
      </c>
      <c r="K462">
        <v>3</v>
      </c>
      <c r="L462">
        <v>196</v>
      </c>
      <c r="M462">
        <v>392</v>
      </c>
    </row>
    <row r="463" spans="1:13">
      <c r="A463">
        <v>376</v>
      </c>
      <c r="B463" s="12" t="s">
        <v>3708</v>
      </c>
      <c r="C463">
        <v>15</v>
      </c>
      <c r="D463" t="s">
        <v>18</v>
      </c>
      <c r="E463">
        <v>2026</v>
      </c>
      <c r="F463" t="s">
        <v>3706</v>
      </c>
      <c r="G463" t="s">
        <v>3707</v>
      </c>
      <c r="H463" t="s">
        <v>2209</v>
      </c>
      <c r="I463" t="s">
        <v>859</v>
      </c>
      <c r="J463" t="s">
        <v>52</v>
      </c>
      <c r="K463">
        <v>3</v>
      </c>
      <c r="L463">
        <v>197</v>
      </c>
      <c r="M463">
        <v>393</v>
      </c>
    </row>
    <row r="464" spans="1:13">
      <c r="A464">
        <v>377</v>
      </c>
      <c r="B464" s="12" t="s">
        <v>4538</v>
      </c>
      <c r="C464">
        <v>15</v>
      </c>
      <c r="D464" t="s">
        <v>18</v>
      </c>
      <c r="E464">
        <v>2026</v>
      </c>
      <c r="F464" t="s">
        <v>4519</v>
      </c>
      <c r="G464" t="s">
        <v>4520</v>
      </c>
      <c r="H464" t="s">
        <v>4539</v>
      </c>
      <c r="I464" t="s">
        <v>859</v>
      </c>
      <c r="J464" t="s">
        <v>52</v>
      </c>
      <c r="K464">
        <v>3</v>
      </c>
      <c r="L464">
        <v>197</v>
      </c>
      <c r="M464" s="63">
        <v>394</v>
      </c>
    </row>
    <row r="465" spans="1:13">
      <c r="A465">
        <v>378</v>
      </c>
      <c r="B465" s="12" t="s">
        <v>4540</v>
      </c>
      <c r="C465">
        <v>15</v>
      </c>
      <c r="D465" t="s">
        <v>18</v>
      </c>
      <c r="E465">
        <v>2026</v>
      </c>
      <c r="F465" t="s">
        <v>881</v>
      </c>
      <c r="G465" t="s">
        <v>882</v>
      </c>
      <c r="H465" t="s">
        <v>829</v>
      </c>
      <c r="I465" t="s">
        <v>859</v>
      </c>
      <c r="J465" t="s">
        <v>52</v>
      </c>
      <c r="K465">
        <v>3</v>
      </c>
      <c r="L465">
        <v>198</v>
      </c>
      <c r="M465">
        <v>395</v>
      </c>
    </row>
    <row r="466" spans="1:13">
      <c r="A466">
        <v>379</v>
      </c>
      <c r="B466" s="12" t="s">
        <v>4541</v>
      </c>
      <c r="C466">
        <v>15</v>
      </c>
      <c r="D466" t="s">
        <v>18</v>
      </c>
      <c r="E466">
        <v>2026</v>
      </c>
      <c r="F466" t="s">
        <v>4542</v>
      </c>
      <c r="G466" t="s">
        <v>4589</v>
      </c>
      <c r="H466" t="s">
        <v>4543</v>
      </c>
      <c r="I466" t="s">
        <v>859</v>
      </c>
      <c r="J466" t="s">
        <v>52</v>
      </c>
      <c r="K466">
        <v>3</v>
      </c>
      <c r="L466">
        <v>198</v>
      </c>
      <c r="M466">
        <v>396</v>
      </c>
    </row>
    <row r="467" spans="1:13">
      <c r="A467">
        <v>380</v>
      </c>
      <c r="B467" s="12" t="s">
        <v>4255</v>
      </c>
      <c r="C467">
        <v>15</v>
      </c>
      <c r="D467" t="s">
        <v>18</v>
      </c>
      <c r="E467">
        <v>2026</v>
      </c>
      <c r="F467" t="s">
        <v>4256</v>
      </c>
      <c r="G467" t="s">
        <v>4238</v>
      </c>
      <c r="H467" t="s">
        <v>4544</v>
      </c>
      <c r="I467" t="s">
        <v>859</v>
      </c>
      <c r="J467" t="s">
        <v>52</v>
      </c>
      <c r="K467">
        <v>3</v>
      </c>
      <c r="L467">
        <v>199</v>
      </c>
      <c r="M467" s="63">
        <v>397</v>
      </c>
    </row>
    <row r="468" spans="1:13">
      <c r="A468">
        <v>381</v>
      </c>
      <c r="B468" s="12" t="s">
        <v>4545</v>
      </c>
      <c r="C468">
        <v>15</v>
      </c>
      <c r="D468" t="s">
        <v>18</v>
      </c>
      <c r="E468">
        <v>2026</v>
      </c>
      <c r="F468" t="s">
        <v>4590</v>
      </c>
      <c r="G468" t="s">
        <v>4546</v>
      </c>
      <c r="H468" t="s">
        <v>4547</v>
      </c>
      <c r="I468" t="s">
        <v>859</v>
      </c>
      <c r="J468" t="s">
        <v>52</v>
      </c>
      <c r="K468">
        <v>3</v>
      </c>
      <c r="L468">
        <v>199</v>
      </c>
      <c r="M468">
        <v>398</v>
      </c>
    </row>
    <row r="469" spans="1:13">
      <c r="A469">
        <v>382</v>
      </c>
      <c r="B469" s="12" t="s">
        <v>4548</v>
      </c>
      <c r="C469">
        <v>15</v>
      </c>
      <c r="D469" t="s">
        <v>18</v>
      </c>
      <c r="E469">
        <v>2026</v>
      </c>
      <c r="F469" t="s">
        <v>4549</v>
      </c>
      <c r="G469" t="s">
        <v>4550</v>
      </c>
      <c r="H469" t="s">
        <v>4551</v>
      </c>
      <c r="I469" t="s">
        <v>859</v>
      </c>
      <c r="J469" t="s">
        <v>52</v>
      </c>
      <c r="K469">
        <v>3</v>
      </c>
      <c r="L469">
        <v>200</v>
      </c>
      <c r="M469">
        <v>399</v>
      </c>
    </row>
    <row r="470" spans="1:13">
      <c r="A470">
        <v>383</v>
      </c>
      <c r="B470" s="12" t="s">
        <v>4552</v>
      </c>
      <c r="C470">
        <v>15</v>
      </c>
      <c r="D470" t="s">
        <v>18</v>
      </c>
      <c r="E470">
        <v>2026</v>
      </c>
      <c r="F470" t="s">
        <v>4553</v>
      </c>
      <c r="G470" t="s">
        <v>4554</v>
      </c>
      <c r="H470" t="s">
        <v>4524</v>
      </c>
      <c r="I470" t="s">
        <v>859</v>
      </c>
      <c r="J470" t="s">
        <v>52</v>
      </c>
      <c r="K470">
        <v>3</v>
      </c>
      <c r="L470">
        <v>200</v>
      </c>
      <c r="M470" s="63">
        <v>400</v>
      </c>
    </row>
    <row r="471" spans="1:13">
      <c r="A471">
        <v>384</v>
      </c>
      <c r="B471" s="12" t="s">
        <v>4555</v>
      </c>
      <c r="C471">
        <v>15</v>
      </c>
      <c r="D471" t="s">
        <v>18</v>
      </c>
      <c r="E471">
        <v>2026</v>
      </c>
      <c r="F471" t="s">
        <v>4556</v>
      </c>
      <c r="G471" t="s">
        <v>4081</v>
      </c>
      <c r="H471" t="s">
        <v>4557</v>
      </c>
      <c r="I471" t="s">
        <v>859</v>
      </c>
      <c r="J471" t="s">
        <v>52</v>
      </c>
      <c r="K471">
        <v>3</v>
      </c>
      <c r="L471">
        <v>201</v>
      </c>
      <c r="M471">
        <v>401</v>
      </c>
    </row>
    <row r="472" spans="1:13">
      <c r="A472">
        <v>385</v>
      </c>
      <c r="B472" s="12" t="s">
        <v>4558</v>
      </c>
      <c r="C472">
        <v>15</v>
      </c>
      <c r="D472" t="s">
        <v>18</v>
      </c>
      <c r="E472">
        <v>2026</v>
      </c>
      <c r="F472" t="s">
        <v>4559</v>
      </c>
      <c r="G472" t="s">
        <v>1010</v>
      </c>
      <c r="H472" t="s">
        <v>1009</v>
      </c>
      <c r="I472" t="s">
        <v>859</v>
      </c>
      <c r="J472" t="s">
        <v>52</v>
      </c>
      <c r="K472">
        <v>3</v>
      </c>
      <c r="L472">
        <v>201</v>
      </c>
      <c r="M472">
        <v>402</v>
      </c>
    </row>
    <row r="473" spans="1:13">
      <c r="A473">
        <v>386</v>
      </c>
      <c r="B473" s="12" t="s">
        <v>4560</v>
      </c>
      <c r="C473">
        <v>15</v>
      </c>
      <c r="D473" t="s">
        <v>18</v>
      </c>
      <c r="E473">
        <v>2026</v>
      </c>
      <c r="F473" t="s">
        <v>4561</v>
      </c>
      <c r="G473" t="s">
        <v>4562</v>
      </c>
      <c r="H473" t="s">
        <v>4563</v>
      </c>
      <c r="I473" t="s">
        <v>859</v>
      </c>
      <c r="J473" t="s">
        <v>52</v>
      </c>
      <c r="K473">
        <v>3</v>
      </c>
      <c r="L473">
        <v>202</v>
      </c>
      <c r="M473" s="63">
        <v>403</v>
      </c>
    </row>
    <row r="474" spans="1:13">
      <c r="A474">
        <v>387</v>
      </c>
      <c r="B474" s="12" t="s">
        <v>4564</v>
      </c>
      <c r="C474">
        <v>15</v>
      </c>
      <c r="D474" t="s">
        <v>18</v>
      </c>
      <c r="E474">
        <v>2026</v>
      </c>
      <c r="F474" t="s">
        <v>3376</v>
      </c>
      <c r="G474" t="s">
        <v>1832</v>
      </c>
      <c r="H474" t="s">
        <v>4587</v>
      </c>
      <c r="I474" t="s">
        <v>859</v>
      </c>
      <c r="J474" t="s">
        <v>52</v>
      </c>
      <c r="K474">
        <v>3</v>
      </c>
      <c r="L474">
        <v>202</v>
      </c>
      <c r="M474">
        <v>404</v>
      </c>
    </row>
    <row r="475" spans="1:13">
      <c r="A475">
        <v>388</v>
      </c>
      <c r="B475" s="12" t="s">
        <v>4565</v>
      </c>
      <c r="C475">
        <v>15</v>
      </c>
      <c r="D475" t="s">
        <v>18</v>
      </c>
      <c r="E475">
        <v>2026</v>
      </c>
      <c r="F475" t="s">
        <v>4566</v>
      </c>
      <c r="G475" t="s">
        <v>4567</v>
      </c>
      <c r="H475" t="s">
        <v>4568</v>
      </c>
      <c r="I475" t="s">
        <v>859</v>
      </c>
      <c r="J475" t="s">
        <v>52</v>
      </c>
      <c r="K475">
        <v>3</v>
      </c>
      <c r="L475">
        <v>203</v>
      </c>
      <c r="M475">
        <v>405</v>
      </c>
    </row>
    <row r="476" spans="1:13">
      <c r="A476">
        <v>389</v>
      </c>
      <c r="B476" s="12" t="s">
        <v>633</v>
      </c>
      <c r="C476">
        <v>15</v>
      </c>
      <c r="D476" t="s">
        <v>18</v>
      </c>
      <c r="E476">
        <v>2026</v>
      </c>
      <c r="F476" t="s">
        <v>634</v>
      </c>
      <c r="G476" t="s">
        <v>635</v>
      </c>
      <c r="H476" t="s">
        <v>643</v>
      </c>
      <c r="I476" t="s">
        <v>859</v>
      </c>
      <c r="J476" t="s">
        <v>52</v>
      </c>
      <c r="K476">
        <v>3</v>
      </c>
      <c r="L476">
        <v>203</v>
      </c>
      <c r="M476" s="63">
        <v>406</v>
      </c>
    </row>
    <row r="477" spans="1:13">
      <c r="A477">
        <v>390</v>
      </c>
      <c r="B477" s="12" t="s">
        <v>4275</v>
      </c>
      <c r="C477">
        <v>15</v>
      </c>
      <c r="D477" t="s">
        <v>18</v>
      </c>
      <c r="E477">
        <v>2026</v>
      </c>
      <c r="F477" t="s">
        <v>4276</v>
      </c>
      <c r="G477" t="s">
        <v>4277</v>
      </c>
      <c r="H477" t="s">
        <v>4569</v>
      </c>
      <c r="I477" t="s">
        <v>859</v>
      </c>
      <c r="J477" t="s">
        <v>52</v>
      </c>
      <c r="K477">
        <v>3</v>
      </c>
      <c r="L477">
        <v>204</v>
      </c>
      <c r="M477">
        <v>407</v>
      </c>
    </row>
    <row r="478" spans="1:13">
      <c r="A478">
        <v>391</v>
      </c>
      <c r="B478" s="12" t="s">
        <v>4570</v>
      </c>
      <c r="C478">
        <v>15</v>
      </c>
      <c r="D478" t="s">
        <v>18</v>
      </c>
      <c r="E478">
        <v>2026</v>
      </c>
      <c r="F478" t="s">
        <v>4571</v>
      </c>
      <c r="G478" t="s">
        <v>4572</v>
      </c>
      <c r="H478" t="s">
        <v>4573</v>
      </c>
      <c r="I478" t="s">
        <v>859</v>
      </c>
      <c r="J478" t="s">
        <v>52</v>
      </c>
      <c r="K478">
        <v>3</v>
      </c>
      <c r="L478">
        <v>204</v>
      </c>
      <c r="M478">
        <v>408</v>
      </c>
    </row>
    <row r="479" spans="1:13">
      <c r="A479">
        <v>392</v>
      </c>
      <c r="B479" s="12" t="s">
        <v>4574</v>
      </c>
      <c r="C479">
        <v>15</v>
      </c>
      <c r="D479" t="s">
        <v>18</v>
      </c>
      <c r="E479">
        <v>2026</v>
      </c>
      <c r="F479" t="s">
        <v>4561</v>
      </c>
      <c r="G479" t="s">
        <v>4562</v>
      </c>
      <c r="H479" t="s">
        <v>4575</v>
      </c>
      <c r="I479" t="s">
        <v>859</v>
      </c>
      <c r="J479" t="s">
        <v>52</v>
      </c>
      <c r="K479">
        <v>3</v>
      </c>
      <c r="L479">
        <v>205</v>
      </c>
      <c r="M479" s="63">
        <v>409</v>
      </c>
    </row>
    <row r="480" spans="1:13">
      <c r="A480">
        <v>393</v>
      </c>
      <c r="B480" s="12" t="s">
        <v>4576</v>
      </c>
      <c r="C480">
        <v>15</v>
      </c>
      <c r="D480" t="s">
        <v>18</v>
      </c>
      <c r="E480">
        <v>2026</v>
      </c>
      <c r="F480" t="s">
        <v>1008</v>
      </c>
      <c r="G480" t="s">
        <v>1009</v>
      </c>
      <c r="H480" t="s">
        <v>4588</v>
      </c>
      <c r="I480" t="s">
        <v>859</v>
      </c>
      <c r="J480" t="s">
        <v>52</v>
      </c>
      <c r="K480">
        <v>3</v>
      </c>
      <c r="L480">
        <v>205</v>
      </c>
      <c r="M480">
        <v>410</v>
      </c>
    </row>
    <row r="481" spans="1:13">
      <c r="A481">
        <v>394</v>
      </c>
      <c r="B481" s="12" t="s">
        <v>4577</v>
      </c>
      <c r="C481">
        <v>15</v>
      </c>
      <c r="D481" t="s">
        <v>18</v>
      </c>
      <c r="E481">
        <v>2026</v>
      </c>
      <c r="F481" t="s">
        <v>2883</v>
      </c>
      <c r="G481" t="s">
        <v>2884</v>
      </c>
      <c r="H481" t="s">
        <v>4578</v>
      </c>
      <c r="I481" t="s">
        <v>859</v>
      </c>
      <c r="J481" t="s">
        <v>52</v>
      </c>
      <c r="K481">
        <v>3</v>
      </c>
      <c r="L481">
        <v>206</v>
      </c>
      <c r="M481">
        <v>411</v>
      </c>
    </row>
    <row r="482" spans="1:13">
      <c r="A482">
        <v>395</v>
      </c>
      <c r="B482" s="12" t="s">
        <v>4579</v>
      </c>
      <c r="C482">
        <v>15</v>
      </c>
      <c r="D482" t="s">
        <v>18</v>
      </c>
      <c r="E482">
        <v>2026</v>
      </c>
      <c r="F482" t="s">
        <v>4580</v>
      </c>
      <c r="G482" t="s">
        <v>4581</v>
      </c>
      <c r="H482" t="s">
        <v>1144</v>
      </c>
      <c r="I482" t="s">
        <v>859</v>
      </c>
      <c r="J482" t="s">
        <v>52</v>
      </c>
      <c r="K482">
        <v>3</v>
      </c>
      <c r="L482">
        <v>206</v>
      </c>
      <c r="M482" s="63">
        <v>412</v>
      </c>
    </row>
    <row r="483" spans="1:13">
      <c r="A483">
        <v>396</v>
      </c>
      <c r="B483" s="12" t="s">
        <v>564</v>
      </c>
      <c r="C483">
        <v>15</v>
      </c>
      <c r="D483" t="s">
        <v>18</v>
      </c>
      <c r="E483">
        <v>2026</v>
      </c>
      <c r="F483" t="s">
        <v>840</v>
      </c>
      <c r="G483" t="s">
        <v>841</v>
      </c>
      <c r="H483" t="s">
        <v>4582</v>
      </c>
      <c r="I483" t="s">
        <v>859</v>
      </c>
      <c r="J483" t="s">
        <v>52</v>
      </c>
      <c r="K483">
        <v>3</v>
      </c>
      <c r="L483">
        <v>207</v>
      </c>
      <c r="M483">
        <v>413</v>
      </c>
    </row>
    <row r="484" spans="1:13">
      <c r="A484">
        <v>397</v>
      </c>
      <c r="B484" s="12" t="s">
        <v>4583</v>
      </c>
      <c r="C484">
        <v>15</v>
      </c>
      <c r="D484" t="s">
        <v>18</v>
      </c>
      <c r="E484">
        <v>2026</v>
      </c>
      <c r="F484" t="s">
        <v>4584</v>
      </c>
      <c r="G484" t="s">
        <v>4585</v>
      </c>
      <c r="H484" t="s">
        <v>4586</v>
      </c>
      <c r="I484" t="s">
        <v>859</v>
      </c>
      <c r="J484" t="s">
        <v>52</v>
      </c>
      <c r="K484">
        <v>3</v>
      </c>
      <c r="L484">
        <v>207</v>
      </c>
      <c r="M484">
        <v>414</v>
      </c>
    </row>
    <row r="486" spans="1:13" ht="17.25" customHeight="1">
      <c r="B486" s="24" t="s">
        <v>4591</v>
      </c>
    </row>
    <row r="487" spans="1:13">
      <c r="B487" s="22" t="s">
        <v>31</v>
      </c>
      <c r="C487" s="149" t="s">
        <v>10</v>
      </c>
      <c r="D487" s="149" t="s">
        <v>11</v>
      </c>
      <c r="E487" s="149" t="s">
        <v>12</v>
      </c>
      <c r="F487" s="2" t="s">
        <v>27</v>
      </c>
      <c r="G487" s="2" t="s">
        <v>26</v>
      </c>
      <c r="H487" s="2" t="s">
        <v>28</v>
      </c>
      <c r="I487" s="2" t="s">
        <v>39</v>
      </c>
      <c r="J487" s="2" t="s">
        <v>24</v>
      </c>
      <c r="K487" s="2" t="s">
        <v>0</v>
      </c>
      <c r="L487" s="2" t="s">
        <v>1</v>
      </c>
      <c r="M487" s="2" t="s">
        <v>2</v>
      </c>
    </row>
    <row r="488" spans="1:13">
      <c r="A488">
        <v>398</v>
      </c>
      <c r="B488" t="s">
        <v>4440</v>
      </c>
      <c r="C488">
        <v>15</v>
      </c>
      <c r="D488" t="s">
        <v>18</v>
      </c>
      <c r="E488">
        <v>2026</v>
      </c>
      <c r="F488" t="s">
        <v>4441</v>
      </c>
      <c r="G488" t="s">
        <v>4442</v>
      </c>
      <c r="H488" t="s">
        <v>4443</v>
      </c>
      <c r="I488" t="s">
        <v>859</v>
      </c>
      <c r="J488" t="s">
        <v>52</v>
      </c>
      <c r="K488">
        <v>3</v>
      </c>
      <c r="L488">
        <v>208</v>
      </c>
      <c r="M488">
        <v>415</v>
      </c>
    </row>
    <row r="489" spans="1:13">
      <c r="A489">
        <v>399</v>
      </c>
      <c r="B489" t="s">
        <v>4592</v>
      </c>
      <c r="C489">
        <v>15</v>
      </c>
      <c r="D489" t="s">
        <v>18</v>
      </c>
      <c r="E489">
        <v>2026</v>
      </c>
      <c r="F489" t="s">
        <v>4593</v>
      </c>
      <c r="G489" t="s">
        <v>4594</v>
      </c>
      <c r="H489" t="s">
        <v>4595</v>
      </c>
      <c r="I489" t="s">
        <v>859</v>
      </c>
      <c r="J489" t="s">
        <v>52</v>
      </c>
      <c r="K489">
        <v>3</v>
      </c>
      <c r="L489">
        <v>208</v>
      </c>
      <c r="M489">
        <v>416</v>
      </c>
    </row>
    <row r="490" spans="1:13">
      <c r="A490">
        <v>400</v>
      </c>
      <c r="B490" t="s">
        <v>4596</v>
      </c>
      <c r="C490">
        <v>15</v>
      </c>
      <c r="D490" t="s">
        <v>18</v>
      </c>
      <c r="E490">
        <v>2026</v>
      </c>
      <c r="F490" t="s">
        <v>4597</v>
      </c>
      <c r="G490" t="s">
        <v>4598</v>
      </c>
      <c r="H490" t="s">
        <v>4599</v>
      </c>
      <c r="I490" t="s">
        <v>859</v>
      </c>
      <c r="J490" t="s">
        <v>52</v>
      </c>
      <c r="K490">
        <v>3</v>
      </c>
      <c r="L490">
        <v>209</v>
      </c>
      <c r="M490">
        <v>417</v>
      </c>
    </row>
    <row r="491" spans="1:13">
      <c r="A491">
        <v>401</v>
      </c>
      <c r="B491" t="s">
        <v>4600</v>
      </c>
      <c r="C491">
        <v>15</v>
      </c>
      <c r="D491" t="s">
        <v>18</v>
      </c>
      <c r="E491">
        <v>2026</v>
      </c>
      <c r="F491" t="s">
        <v>4601</v>
      </c>
      <c r="G491" t="s">
        <v>4602</v>
      </c>
      <c r="H491" t="s">
        <v>4603</v>
      </c>
      <c r="I491" t="s">
        <v>859</v>
      </c>
      <c r="J491" t="s">
        <v>52</v>
      </c>
      <c r="K491">
        <v>3</v>
      </c>
      <c r="L491">
        <v>209</v>
      </c>
      <c r="M491">
        <v>418</v>
      </c>
    </row>
    <row r="492" spans="1:13">
      <c r="A492">
        <v>402</v>
      </c>
      <c r="B492" t="s">
        <v>4604</v>
      </c>
      <c r="C492">
        <v>15</v>
      </c>
      <c r="D492" t="s">
        <v>18</v>
      </c>
      <c r="E492">
        <v>2026</v>
      </c>
      <c r="F492" t="s">
        <v>4605</v>
      </c>
      <c r="G492" t="s">
        <v>4606</v>
      </c>
      <c r="H492" t="s">
        <v>4607</v>
      </c>
      <c r="I492" t="s">
        <v>859</v>
      </c>
      <c r="J492" t="s">
        <v>52</v>
      </c>
      <c r="K492">
        <v>3</v>
      </c>
      <c r="L492">
        <v>210</v>
      </c>
      <c r="M492">
        <v>419</v>
      </c>
    </row>
    <row r="493" spans="1:13">
      <c r="A493">
        <v>403</v>
      </c>
      <c r="B493" t="s">
        <v>4608</v>
      </c>
      <c r="C493">
        <v>15</v>
      </c>
      <c r="D493" t="s">
        <v>18</v>
      </c>
      <c r="E493">
        <v>2026</v>
      </c>
      <c r="F493" t="s">
        <v>4609</v>
      </c>
      <c r="G493" t="s">
        <v>4610</v>
      </c>
      <c r="H493" t="s">
        <v>4611</v>
      </c>
      <c r="I493" t="s">
        <v>859</v>
      </c>
      <c r="J493" t="s">
        <v>52</v>
      </c>
      <c r="K493">
        <v>3</v>
      </c>
      <c r="L493">
        <v>210</v>
      </c>
      <c r="M493">
        <v>420</v>
      </c>
    </row>
    <row r="494" spans="1:13">
      <c r="A494">
        <v>404</v>
      </c>
      <c r="B494" t="s">
        <v>4612</v>
      </c>
      <c r="C494">
        <v>15</v>
      </c>
      <c r="D494" t="s">
        <v>18</v>
      </c>
      <c r="E494">
        <v>2026</v>
      </c>
      <c r="F494" t="s">
        <v>4613</v>
      </c>
      <c r="G494" t="s">
        <v>4614</v>
      </c>
      <c r="H494" t="s">
        <v>4606</v>
      </c>
      <c r="I494" t="s">
        <v>859</v>
      </c>
      <c r="J494" t="s">
        <v>52</v>
      </c>
      <c r="K494">
        <v>3</v>
      </c>
      <c r="L494">
        <v>211</v>
      </c>
      <c r="M494">
        <v>421</v>
      </c>
    </row>
    <row r="495" spans="1:13">
      <c r="A495">
        <v>405</v>
      </c>
      <c r="B495" t="s">
        <v>4677</v>
      </c>
      <c r="C495">
        <v>15</v>
      </c>
      <c r="D495" t="s">
        <v>18</v>
      </c>
      <c r="E495">
        <v>2026</v>
      </c>
      <c r="F495" t="s">
        <v>4616</v>
      </c>
      <c r="G495" t="s">
        <v>4617</v>
      </c>
      <c r="H495" t="s">
        <v>4615</v>
      </c>
      <c r="I495" t="s">
        <v>859</v>
      </c>
      <c r="J495" t="s">
        <v>52</v>
      </c>
      <c r="K495">
        <v>3</v>
      </c>
      <c r="L495">
        <v>211</v>
      </c>
      <c r="M495">
        <v>422</v>
      </c>
    </row>
    <row r="496" spans="1:13">
      <c r="A496">
        <v>406</v>
      </c>
      <c r="B496" t="s">
        <v>1337</v>
      </c>
      <c r="C496">
        <v>15</v>
      </c>
      <c r="D496" t="s">
        <v>18</v>
      </c>
      <c r="E496">
        <v>2026</v>
      </c>
      <c r="F496" t="s">
        <v>1342</v>
      </c>
      <c r="G496" t="s">
        <v>1343</v>
      </c>
      <c r="H496" t="s">
        <v>4618</v>
      </c>
      <c r="I496" t="s">
        <v>859</v>
      </c>
      <c r="J496" t="s">
        <v>52</v>
      </c>
      <c r="K496">
        <v>3</v>
      </c>
      <c r="L496">
        <v>212</v>
      </c>
      <c r="M496">
        <v>423</v>
      </c>
    </row>
    <row r="497" spans="1:13">
      <c r="A497">
        <v>407</v>
      </c>
      <c r="B497" t="s">
        <v>4444</v>
      </c>
      <c r="C497">
        <v>15</v>
      </c>
      <c r="D497" t="s">
        <v>18</v>
      </c>
      <c r="E497">
        <v>2026</v>
      </c>
      <c r="F497" t="s">
        <v>4445</v>
      </c>
      <c r="G497" t="s">
        <v>4446</v>
      </c>
      <c r="H497" t="s">
        <v>4619</v>
      </c>
      <c r="I497" t="s">
        <v>859</v>
      </c>
      <c r="J497" t="s">
        <v>52</v>
      </c>
      <c r="K497">
        <v>3</v>
      </c>
      <c r="L497">
        <v>212</v>
      </c>
      <c r="M497">
        <v>424</v>
      </c>
    </row>
    <row r="498" spans="1:13">
      <c r="A498">
        <v>408</v>
      </c>
      <c r="B498" t="s">
        <v>4620</v>
      </c>
      <c r="C498">
        <v>15</v>
      </c>
      <c r="D498" t="s">
        <v>18</v>
      </c>
      <c r="E498">
        <v>2026</v>
      </c>
      <c r="F498" t="s">
        <v>4621</v>
      </c>
      <c r="G498" t="s">
        <v>4599</v>
      </c>
      <c r="H498" t="s">
        <v>4597</v>
      </c>
      <c r="I498" t="s">
        <v>859</v>
      </c>
      <c r="J498" t="s">
        <v>52</v>
      </c>
      <c r="K498">
        <v>3</v>
      </c>
      <c r="L498">
        <v>213</v>
      </c>
      <c r="M498">
        <v>425</v>
      </c>
    </row>
    <row r="499" spans="1:13">
      <c r="A499">
        <v>409</v>
      </c>
      <c r="B499" t="s">
        <v>4622</v>
      </c>
      <c r="C499">
        <v>15</v>
      </c>
      <c r="D499" t="s">
        <v>18</v>
      </c>
      <c r="E499">
        <v>2026</v>
      </c>
      <c r="F499" t="s">
        <v>4623</v>
      </c>
      <c r="G499" t="s">
        <v>4624</v>
      </c>
      <c r="H499" t="s">
        <v>4625</v>
      </c>
      <c r="I499" t="s">
        <v>859</v>
      </c>
      <c r="J499" t="s">
        <v>52</v>
      </c>
      <c r="K499">
        <v>3</v>
      </c>
      <c r="L499">
        <v>213</v>
      </c>
      <c r="M499">
        <v>426</v>
      </c>
    </row>
    <row r="500" spans="1:13">
      <c r="A500">
        <v>410</v>
      </c>
      <c r="B500" t="s">
        <v>4448</v>
      </c>
      <c r="C500">
        <v>15</v>
      </c>
      <c r="D500" t="s">
        <v>18</v>
      </c>
      <c r="E500">
        <v>2026</v>
      </c>
      <c r="F500" t="s">
        <v>4449</v>
      </c>
      <c r="G500" t="s">
        <v>4450</v>
      </c>
      <c r="H500" t="s">
        <v>4451</v>
      </c>
      <c r="I500" t="s">
        <v>859</v>
      </c>
      <c r="J500" t="s">
        <v>52</v>
      </c>
      <c r="K500">
        <v>3</v>
      </c>
      <c r="L500">
        <v>214</v>
      </c>
      <c r="M500">
        <v>427</v>
      </c>
    </row>
    <row r="501" spans="1:13">
      <c r="A501">
        <v>411</v>
      </c>
      <c r="B501" t="s">
        <v>4626</v>
      </c>
      <c r="C501">
        <v>15</v>
      </c>
      <c r="D501" t="s">
        <v>18</v>
      </c>
      <c r="E501">
        <v>2026</v>
      </c>
      <c r="F501" t="s">
        <v>4627</v>
      </c>
      <c r="G501" t="s">
        <v>4628</v>
      </c>
      <c r="H501" t="s">
        <v>4629</v>
      </c>
      <c r="I501" t="s">
        <v>859</v>
      </c>
      <c r="J501" t="s">
        <v>52</v>
      </c>
      <c r="K501">
        <v>3</v>
      </c>
      <c r="L501">
        <v>214</v>
      </c>
      <c r="M501">
        <v>428</v>
      </c>
    </row>
    <row r="502" spans="1:13">
      <c r="A502">
        <v>412</v>
      </c>
      <c r="B502" t="s">
        <v>3131</v>
      </c>
      <c r="C502">
        <v>15</v>
      </c>
      <c r="D502" t="s">
        <v>18</v>
      </c>
      <c r="E502">
        <v>2026</v>
      </c>
      <c r="F502" t="s">
        <v>4452</v>
      </c>
      <c r="G502" t="s">
        <v>4453</v>
      </c>
      <c r="H502" t="s">
        <v>4454</v>
      </c>
      <c r="I502" t="s">
        <v>859</v>
      </c>
      <c r="J502" t="s">
        <v>52</v>
      </c>
      <c r="K502">
        <v>3</v>
      </c>
      <c r="L502">
        <v>215</v>
      </c>
      <c r="M502">
        <v>429</v>
      </c>
    </row>
    <row r="503" spans="1:13">
      <c r="A503">
        <v>413</v>
      </c>
      <c r="B503" t="s">
        <v>4630</v>
      </c>
      <c r="C503">
        <v>15</v>
      </c>
      <c r="D503" t="s">
        <v>18</v>
      </c>
      <c r="E503">
        <v>2026</v>
      </c>
      <c r="F503" t="s">
        <v>4631</v>
      </c>
      <c r="G503" t="s">
        <v>4632</v>
      </c>
      <c r="H503" t="s">
        <v>4633</v>
      </c>
      <c r="I503" t="s">
        <v>859</v>
      </c>
      <c r="J503" t="s">
        <v>52</v>
      </c>
      <c r="K503">
        <v>3</v>
      </c>
      <c r="L503">
        <v>215</v>
      </c>
      <c r="M503">
        <v>430</v>
      </c>
    </row>
    <row r="504" spans="1:13">
      <c r="A504">
        <v>414</v>
      </c>
      <c r="B504" t="s">
        <v>4455</v>
      </c>
      <c r="C504">
        <v>15</v>
      </c>
      <c r="D504" t="s">
        <v>18</v>
      </c>
      <c r="E504">
        <v>2026</v>
      </c>
      <c r="F504" t="s">
        <v>4634</v>
      </c>
      <c r="G504" t="s">
        <v>4457</v>
      </c>
      <c r="H504" t="s">
        <v>4635</v>
      </c>
      <c r="I504" t="s">
        <v>859</v>
      </c>
      <c r="J504" t="s">
        <v>52</v>
      </c>
      <c r="K504">
        <v>3</v>
      </c>
      <c r="L504">
        <v>216</v>
      </c>
      <c r="M504">
        <v>431</v>
      </c>
    </row>
    <row r="505" spans="1:13">
      <c r="A505">
        <v>415</v>
      </c>
      <c r="B505" t="s">
        <v>4458</v>
      </c>
      <c r="C505">
        <v>15</v>
      </c>
      <c r="D505" t="s">
        <v>18</v>
      </c>
      <c r="E505">
        <v>2026</v>
      </c>
      <c r="F505" t="s">
        <v>4459</v>
      </c>
      <c r="G505" t="s">
        <v>4460</v>
      </c>
      <c r="H505" t="s">
        <v>4470</v>
      </c>
      <c r="I505" t="s">
        <v>859</v>
      </c>
      <c r="J505" t="s">
        <v>52</v>
      </c>
      <c r="K505">
        <v>3</v>
      </c>
      <c r="L505">
        <v>216</v>
      </c>
      <c r="M505">
        <v>432</v>
      </c>
    </row>
    <row r="506" spans="1:13">
      <c r="A506">
        <v>416</v>
      </c>
      <c r="B506" t="s">
        <v>4636</v>
      </c>
      <c r="C506">
        <v>15</v>
      </c>
      <c r="D506" t="s">
        <v>18</v>
      </c>
      <c r="E506">
        <v>2026</v>
      </c>
      <c r="F506" t="s">
        <v>4637</v>
      </c>
      <c r="G506" t="s">
        <v>4451</v>
      </c>
      <c r="H506" t="s">
        <v>4638</v>
      </c>
      <c r="I506" t="s">
        <v>859</v>
      </c>
      <c r="J506" t="s">
        <v>52</v>
      </c>
      <c r="K506">
        <v>3</v>
      </c>
      <c r="L506">
        <v>217</v>
      </c>
      <c r="M506">
        <v>433</v>
      </c>
    </row>
    <row r="507" spans="1:13">
      <c r="A507">
        <v>417</v>
      </c>
      <c r="B507" t="s">
        <v>4639</v>
      </c>
      <c r="C507">
        <v>15</v>
      </c>
      <c r="D507" t="s">
        <v>18</v>
      </c>
      <c r="E507">
        <v>2026</v>
      </c>
      <c r="F507" t="s">
        <v>4640</v>
      </c>
      <c r="G507" t="s">
        <v>4641</v>
      </c>
      <c r="H507" t="s">
        <v>4642</v>
      </c>
      <c r="I507" t="s">
        <v>859</v>
      </c>
      <c r="J507" t="s">
        <v>52</v>
      </c>
      <c r="K507">
        <v>3</v>
      </c>
      <c r="L507">
        <v>217</v>
      </c>
      <c r="M507">
        <v>434</v>
      </c>
    </row>
    <row r="508" spans="1:13">
      <c r="A508">
        <v>418</v>
      </c>
      <c r="B508" t="s">
        <v>4643</v>
      </c>
      <c r="C508">
        <v>15</v>
      </c>
      <c r="D508" t="s">
        <v>18</v>
      </c>
      <c r="E508">
        <v>2026</v>
      </c>
      <c r="F508" t="s">
        <v>4644</v>
      </c>
      <c r="G508" t="s">
        <v>4645</v>
      </c>
      <c r="H508" t="s">
        <v>4646</v>
      </c>
      <c r="I508" t="s">
        <v>859</v>
      </c>
      <c r="J508" t="s">
        <v>52</v>
      </c>
      <c r="K508">
        <v>3</v>
      </c>
      <c r="L508">
        <v>218</v>
      </c>
      <c r="M508">
        <v>435</v>
      </c>
    </row>
    <row r="509" spans="1:13">
      <c r="A509">
        <v>419</v>
      </c>
      <c r="B509" t="s">
        <v>4647</v>
      </c>
      <c r="C509">
        <v>15</v>
      </c>
      <c r="D509" t="s">
        <v>18</v>
      </c>
      <c r="E509">
        <v>2026</v>
      </c>
      <c r="F509" t="s">
        <v>4649</v>
      </c>
      <c r="G509" t="s">
        <v>4648</v>
      </c>
      <c r="H509" t="s">
        <v>4650</v>
      </c>
      <c r="I509" t="s">
        <v>859</v>
      </c>
      <c r="J509" t="s">
        <v>52</v>
      </c>
      <c r="K509">
        <v>3</v>
      </c>
      <c r="L509">
        <v>218</v>
      </c>
      <c r="M509">
        <v>436</v>
      </c>
    </row>
    <row r="510" spans="1:13">
      <c r="A510">
        <v>420</v>
      </c>
      <c r="B510" t="s">
        <v>4651</v>
      </c>
      <c r="C510">
        <v>15</v>
      </c>
      <c r="D510" t="s">
        <v>18</v>
      </c>
      <c r="E510">
        <v>2026</v>
      </c>
      <c r="F510" t="s">
        <v>4652</v>
      </c>
      <c r="G510" t="s">
        <v>4653</v>
      </c>
      <c r="H510" t="s">
        <v>4654</v>
      </c>
      <c r="I510" t="s">
        <v>859</v>
      </c>
      <c r="J510" t="s">
        <v>52</v>
      </c>
      <c r="K510">
        <v>3</v>
      </c>
      <c r="L510">
        <v>219</v>
      </c>
      <c r="M510">
        <v>437</v>
      </c>
    </row>
    <row r="511" spans="1:13">
      <c r="A511">
        <v>421</v>
      </c>
      <c r="B511" t="s">
        <v>4655</v>
      </c>
      <c r="C511">
        <v>15</v>
      </c>
      <c r="D511" t="s">
        <v>18</v>
      </c>
      <c r="E511">
        <v>2026</v>
      </c>
      <c r="F511" t="s">
        <v>4656</v>
      </c>
      <c r="G511" t="s">
        <v>1437</v>
      </c>
      <c r="H511" t="s">
        <v>4657</v>
      </c>
      <c r="I511" t="s">
        <v>859</v>
      </c>
      <c r="J511" t="s">
        <v>52</v>
      </c>
      <c r="K511">
        <v>3</v>
      </c>
      <c r="L511">
        <v>219</v>
      </c>
      <c r="M511">
        <v>438</v>
      </c>
    </row>
    <row r="512" spans="1:13">
      <c r="A512">
        <v>422</v>
      </c>
      <c r="B512" t="s">
        <v>4461</v>
      </c>
      <c r="C512">
        <v>15</v>
      </c>
      <c r="D512" t="s">
        <v>18</v>
      </c>
      <c r="E512">
        <v>2026</v>
      </c>
      <c r="F512" t="s">
        <v>4462</v>
      </c>
      <c r="G512" t="s">
        <v>4463</v>
      </c>
      <c r="H512" t="s">
        <v>4464</v>
      </c>
      <c r="I512" t="s">
        <v>859</v>
      </c>
      <c r="J512" t="s">
        <v>52</v>
      </c>
      <c r="K512">
        <v>3</v>
      </c>
      <c r="L512">
        <v>220</v>
      </c>
      <c r="M512">
        <v>439</v>
      </c>
    </row>
    <row r="513" spans="1:13">
      <c r="A513">
        <v>423</v>
      </c>
      <c r="B513" t="s">
        <v>4465</v>
      </c>
      <c r="C513">
        <v>15</v>
      </c>
      <c r="D513" t="s">
        <v>18</v>
      </c>
      <c r="E513">
        <v>2026</v>
      </c>
      <c r="F513" t="s">
        <v>4466</v>
      </c>
      <c r="G513" t="s">
        <v>4467</v>
      </c>
      <c r="H513" t="s">
        <v>4468</v>
      </c>
      <c r="I513" t="s">
        <v>859</v>
      </c>
      <c r="J513" t="s">
        <v>52</v>
      </c>
      <c r="K513">
        <v>3</v>
      </c>
      <c r="L513">
        <v>220</v>
      </c>
      <c r="M513">
        <v>440</v>
      </c>
    </row>
    <row r="514" spans="1:13">
      <c r="A514">
        <v>424</v>
      </c>
      <c r="B514" t="s">
        <v>4658</v>
      </c>
      <c r="C514">
        <v>15</v>
      </c>
      <c r="D514" t="s">
        <v>18</v>
      </c>
      <c r="E514">
        <v>2026</v>
      </c>
      <c r="F514" t="s">
        <v>4659</v>
      </c>
      <c r="G514" t="s">
        <v>4660</v>
      </c>
      <c r="H514" t="s">
        <v>4661</v>
      </c>
      <c r="I514" t="s">
        <v>859</v>
      </c>
      <c r="J514" t="s">
        <v>52</v>
      </c>
      <c r="K514">
        <v>3</v>
      </c>
      <c r="L514">
        <v>221</v>
      </c>
      <c r="M514">
        <v>441</v>
      </c>
    </row>
    <row r="515" spans="1:13">
      <c r="A515">
        <v>425</v>
      </c>
      <c r="B515" t="s">
        <v>4662</v>
      </c>
      <c r="C515">
        <v>15</v>
      </c>
      <c r="D515" t="s">
        <v>18</v>
      </c>
      <c r="E515">
        <v>2026</v>
      </c>
      <c r="F515" t="s">
        <v>4663</v>
      </c>
      <c r="G515" t="s">
        <v>4664</v>
      </c>
      <c r="H515" t="s">
        <v>4665</v>
      </c>
      <c r="I515" t="s">
        <v>859</v>
      </c>
      <c r="J515" t="s">
        <v>52</v>
      </c>
      <c r="K515">
        <v>3</v>
      </c>
      <c r="L515">
        <v>221</v>
      </c>
      <c r="M515">
        <v>442</v>
      </c>
    </row>
    <row r="516" spans="1:13">
      <c r="A516">
        <v>426</v>
      </c>
      <c r="B516" t="s">
        <v>4666</v>
      </c>
      <c r="C516">
        <v>15</v>
      </c>
      <c r="D516" t="s">
        <v>18</v>
      </c>
      <c r="E516">
        <v>2026</v>
      </c>
      <c r="F516" t="s">
        <v>4667</v>
      </c>
      <c r="G516" t="s">
        <v>4668</v>
      </c>
      <c r="H516" t="s">
        <v>4669</v>
      </c>
      <c r="I516" t="s">
        <v>859</v>
      </c>
      <c r="J516" t="s">
        <v>52</v>
      </c>
      <c r="K516">
        <v>3</v>
      </c>
      <c r="L516">
        <v>222</v>
      </c>
      <c r="M516">
        <v>443</v>
      </c>
    </row>
    <row r="517" spans="1:13">
      <c r="A517">
        <v>427</v>
      </c>
      <c r="B517" t="s">
        <v>4670</v>
      </c>
      <c r="C517">
        <v>15</v>
      </c>
      <c r="D517" t="s">
        <v>18</v>
      </c>
      <c r="E517">
        <v>2026</v>
      </c>
      <c r="F517" t="s">
        <v>4671</v>
      </c>
      <c r="G517" t="s">
        <v>4672</v>
      </c>
      <c r="H517" t="s">
        <v>4673</v>
      </c>
      <c r="I517" t="s">
        <v>859</v>
      </c>
      <c r="J517" t="s">
        <v>52</v>
      </c>
      <c r="K517">
        <v>3</v>
      </c>
      <c r="L517">
        <v>222</v>
      </c>
      <c r="M517">
        <v>444</v>
      </c>
    </row>
    <row r="518" spans="1:13">
      <c r="A518">
        <v>428</v>
      </c>
      <c r="B518" t="s">
        <v>4230</v>
      </c>
      <c r="C518">
        <v>15</v>
      </c>
      <c r="D518" t="s">
        <v>18</v>
      </c>
      <c r="E518">
        <v>2026</v>
      </c>
      <c r="F518" t="s">
        <v>4678</v>
      </c>
      <c r="G518" t="s">
        <v>4679</v>
      </c>
      <c r="H518" t="s">
        <v>1590</v>
      </c>
      <c r="I518" t="s">
        <v>859</v>
      </c>
      <c r="J518" t="s">
        <v>52</v>
      </c>
      <c r="K518">
        <v>3</v>
      </c>
      <c r="L518">
        <v>223</v>
      </c>
      <c r="M518">
        <v>445</v>
      </c>
    </row>
  </sheetData>
  <pageMargins left="0.75" right="0.75" top="1" bottom="1" header="0" footer="0"/>
  <pageSetup paperSize="9" scale="8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S27"/>
  <sheetViews>
    <sheetView zoomScale="85" workbookViewId="0">
      <selection activeCell="A2" sqref="A2"/>
    </sheetView>
  </sheetViews>
  <sheetFormatPr baseColWidth="10" defaultColWidth="12.85546875" defaultRowHeight="15"/>
  <cols>
    <col min="1" max="1" width="11.85546875" style="4" customWidth="1"/>
    <col min="2" max="2" width="5.7109375" style="4" hidden="1" customWidth="1"/>
    <col min="3" max="3" width="9.85546875" style="4" customWidth="1"/>
    <col min="4" max="4" width="1.42578125" style="4" customWidth="1"/>
    <col min="5" max="5" width="5.5703125" style="4" customWidth="1"/>
    <col min="6" max="6" width="40.7109375" style="4" customWidth="1"/>
    <col min="7" max="7" width="3.7109375" style="4" hidden="1" customWidth="1"/>
    <col min="8" max="8" width="4.5703125" style="4" customWidth="1"/>
    <col min="9" max="9" width="30" style="4" customWidth="1"/>
    <col min="10" max="10" width="18.85546875" style="4" customWidth="1"/>
    <col min="11" max="11" width="8" style="4" customWidth="1"/>
    <col min="12" max="12" width="8.140625" style="4" customWidth="1"/>
    <col min="13" max="16" width="5.5703125" style="4" customWidth="1"/>
    <col min="17" max="17" width="3" style="4" customWidth="1"/>
    <col min="18" max="18" width="16.28515625" style="4" customWidth="1"/>
    <col min="19" max="19" width="25.7109375" style="4" bestFit="1" customWidth="1"/>
    <col min="20" max="16384" width="12.85546875" style="3"/>
  </cols>
  <sheetData>
    <row r="1" spans="1:12">
      <c r="A1" s="16">
        <v>331</v>
      </c>
    </row>
    <row r="2" spans="1:12">
      <c r="A2" s="42"/>
    </row>
    <row r="3" spans="1:12" ht="3" customHeight="1"/>
    <row r="4" spans="1:12" ht="48" customHeight="1"/>
    <row r="5" spans="1:12" ht="43.5" customHeight="1">
      <c r="D5" s="152" t="str">
        <f>LOOKUP($A$1,CONFIRMACION!$A$7:B1055)</f>
        <v>ABRIL RODARTE SANCHEZ</v>
      </c>
      <c r="E5" s="152"/>
      <c r="F5" s="152"/>
      <c r="G5" s="152"/>
      <c r="H5" s="152"/>
      <c r="I5" s="152"/>
    </row>
    <row r="6" spans="1:12" ht="6.75" customHeight="1"/>
    <row r="7" spans="1:12" ht="12.75" customHeight="1"/>
    <row r="8" spans="1:12" ht="21.75" customHeight="1">
      <c r="E8" s="153" t="str">
        <f>IF(LOOKUP($A$1,CONFIRMACION!$A$7:F1055)=0," ",LOOKUP($A$1,CONFIRMACION!$A$7:F1055))</f>
        <v>JESUS FERNANDO RODARTE MORALES</v>
      </c>
      <c r="F8" s="153"/>
      <c r="G8" s="14"/>
      <c r="I8" s="14" t="str">
        <f>LOOKUP($A$1,CONFIRMACION!$A$7:G1055)</f>
        <v>ANA CECILIA SANCHEZ YAÑEZ</v>
      </c>
      <c r="J8" s="14"/>
    </row>
    <row r="11" spans="1:12" ht="9.75" customHeight="1"/>
    <row r="12" spans="1:12" ht="19.5" customHeight="1">
      <c r="C12" s="157" t="s">
        <v>4675</v>
      </c>
      <c r="D12" s="157"/>
      <c r="E12" s="157"/>
      <c r="F12" s="157"/>
      <c r="G12" s="14"/>
      <c r="H12" s="14">
        <f>IF(LOOKUP($A$1,CONFIRMACION!$A$7:C1059)=0," ",LOOKUP($A$1,CONFIRMACION!$A$7:C1059))</f>
        <v>15</v>
      </c>
      <c r="I12" s="48" t="str">
        <f>IF(LOOKUP($A$1,CONFIRMACION!$A$7:D1059)=0," ",LOOKUP($A$1,CONFIRMACION!$A$7:D1059))</f>
        <v>JUNIO</v>
      </c>
      <c r="J12" s="150">
        <f>IF(LOOKUP($A$1,CONFIRMACION!$A$7:E1059)=0," ",LOOKUP($A$1,CONFIRMACION!$A$7:E1059))</f>
        <v>2026</v>
      </c>
      <c r="K12" s="14"/>
      <c r="L12" s="20"/>
    </row>
    <row r="14" spans="1:12" ht="45" customHeight="1">
      <c r="F14" s="153" t="str">
        <f>LOOKUP($A$1,CONFIRMACION!$A$7:H1055)</f>
        <v>GUADALUPE AMANDA CORONADO COLORES</v>
      </c>
      <c r="G14" s="153"/>
      <c r="H14" s="153"/>
      <c r="I14" s="153"/>
    </row>
    <row r="15" spans="1:12" ht="26.25" customHeight="1">
      <c r="F15" s="7">
        <f>LOOKUP($A$1,CONFIRMACION!$A$7:K1055)</f>
        <v>3</v>
      </c>
      <c r="G15" s="6"/>
      <c r="H15" s="5"/>
      <c r="I15" s="5"/>
      <c r="K15" s="40" t="s">
        <v>41</v>
      </c>
    </row>
    <row r="16" spans="1:12" ht="21" customHeight="1">
      <c r="F16" s="7">
        <f>LOOKUP($A$1,CONFIRMACION!$A$7:L1055)</f>
        <v>174</v>
      </c>
      <c r="G16" s="6"/>
      <c r="I16" s="153" t="str">
        <f>IF(LOOKUP($A$1,CONFIRMACION!A$7:$J1050)=0," ",LOOKUP($A$1,CONFIRMACION!A$7:$J1050))</f>
        <v>GERARDO CAMACHO PONCE</v>
      </c>
      <c r="J16" s="153"/>
      <c r="K16" s="14"/>
      <c r="L16" s="14"/>
    </row>
    <row r="17" spans="6:16" ht="22.5" customHeight="1">
      <c r="F17" s="7">
        <f>LOOKUP($A$1,CONFIRMACION!$A$7:M1055)</f>
        <v>348</v>
      </c>
      <c r="G17" s="6"/>
      <c r="I17" s="4" t="s">
        <v>40</v>
      </c>
    </row>
    <row r="27" spans="6:16">
      <c r="M27" s="153"/>
      <c r="N27" s="153"/>
      <c r="O27" s="153"/>
      <c r="P27" s="153"/>
    </row>
  </sheetData>
  <sheetProtection password="CA9C" formatCells="0"/>
  <mergeCells count="6">
    <mergeCell ref="M27:P27"/>
    <mergeCell ref="I16:J16"/>
    <mergeCell ref="D5:I5"/>
    <mergeCell ref="C12:F12"/>
    <mergeCell ref="F14:I14"/>
    <mergeCell ref="E8:F8"/>
  </mergeCells>
  <pageMargins left="0.15748031496062992" right="0.23622047244094491" top="1.3779527559055118" bottom="0.74803149606299213" header="0" footer="0.31496062992125984"/>
  <pageSetup scale="8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1:X385"/>
  <sheetViews>
    <sheetView topLeftCell="A5" workbookViewId="0">
      <pane ySplit="2" topLeftCell="A130" activePane="bottomLeft" state="frozen"/>
      <selection activeCell="A5" sqref="A5"/>
      <selection pane="bottomLeft" activeCell="B152" sqref="B152"/>
    </sheetView>
  </sheetViews>
  <sheetFormatPr baseColWidth="10" defaultRowHeight="12.75"/>
  <cols>
    <col min="1" max="1" width="5.28515625" style="38" customWidth="1"/>
    <col min="2" max="2" width="40.42578125" style="24" customWidth="1"/>
    <col min="3" max="3" width="12.7109375" hidden="1" customWidth="1"/>
    <col min="4" max="4" width="5.42578125" customWidth="1"/>
    <col min="5" max="5" width="15.7109375" customWidth="1"/>
    <col min="6" max="6" width="8.7109375" customWidth="1"/>
    <col min="7" max="7" width="27.28515625" customWidth="1"/>
    <col min="8" max="8" width="43.85546875" customWidth="1"/>
    <col min="9" max="9" width="42" customWidth="1"/>
    <col min="10" max="10" width="5.42578125" customWidth="1"/>
    <col min="11" max="11" width="13" bestFit="1" customWidth="1"/>
    <col min="12" max="12" width="8.7109375" customWidth="1"/>
    <col min="13" max="13" width="44.5703125" bestFit="1" customWidth="1"/>
    <col min="14" max="14" width="73.28515625" customWidth="1"/>
    <col min="15" max="15" width="75.42578125" bestFit="1" customWidth="1"/>
    <col min="16" max="16" width="44.5703125" customWidth="1"/>
    <col min="17" max="17" width="18.42578125" customWidth="1"/>
    <col min="18" max="18" width="75.42578125" style="38" bestFit="1" customWidth="1"/>
    <col min="19" max="19" width="21.5703125" style="38" customWidth="1"/>
    <col min="20" max="20" width="22.42578125" style="38" customWidth="1"/>
    <col min="21" max="21" width="17.5703125" customWidth="1"/>
    <col min="24" max="29" width="11.42578125" customWidth="1"/>
  </cols>
  <sheetData>
    <row r="1" spans="1:23" hidden="1"/>
    <row r="2" spans="1:23" hidden="1"/>
    <row r="3" spans="1:23" ht="20.25" hidden="1">
      <c r="B3" s="21" t="s">
        <v>36</v>
      </c>
      <c r="C3" s="21"/>
    </row>
    <row r="4" spans="1:23" ht="20.25" hidden="1">
      <c r="B4" s="21"/>
      <c r="C4" s="21"/>
    </row>
    <row r="5" spans="1:23">
      <c r="C5" s="24"/>
      <c r="D5" s="158" t="s">
        <v>32</v>
      </c>
      <c r="E5" s="158"/>
      <c r="F5" s="158"/>
      <c r="G5" s="23" t="s">
        <v>33</v>
      </c>
      <c r="J5" s="159" t="s">
        <v>35</v>
      </c>
      <c r="K5" s="159"/>
      <c r="L5" s="159"/>
    </row>
    <row r="6" spans="1:23">
      <c r="A6" s="39"/>
      <c r="B6" s="68" t="s">
        <v>31</v>
      </c>
      <c r="C6" s="23"/>
      <c r="D6" s="23" t="s">
        <v>10</v>
      </c>
      <c r="E6" s="23" t="s">
        <v>11</v>
      </c>
      <c r="F6" s="23" t="s">
        <v>12</v>
      </c>
      <c r="G6" s="23" t="s">
        <v>34</v>
      </c>
      <c r="H6" s="2" t="s">
        <v>27</v>
      </c>
      <c r="I6" s="2" t="s">
        <v>26</v>
      </c>
      <c r="J6" s="11" t="s">
        <v>10</v>
      </c>
      <c r="K6" s="11" t="s">
        <v>11</v>
      </c>
      <c r="L6" s="11" t="s">
        <v>12</v>
      </c>
      <c r="M6" s="2" t="s">
        <v>37</v>
      </c>
      <c r="N6" s="2" t="s">
        <v>30</v>
      </c>
      <c r="O6" s="2" t="s">
        <v>45</v>
      </c>
      <c r="P6" s="2" t="s">
        <v>9</v>
      </c>
      <c r="Q6" s="2" t="s">
        <v>38</v>
      </c>
      <c r="U6" s="2" t="s">
        <v>42</v>
      </c>
      <c r="V6" t="s">
        <v>43</v>
      </c>
      <c r="W6" t="s">
        <v>44</v>
      </c>
    </row>
    <row r="7" spans="1:23" ht="20.25">
      <c r="B7" s="21" t="s">
        <v>1939</v>
      </c>
      <c r="C7" s="21"/>
    </row>
    <row r="8" spans="1:23">
      <c r="A8" s="38">
        <v>1</v>
      </c>
      <c r="B8" s="24" t="s">
        <v>49</v>
      </c>
      <c r="D8">
        <v>3</v>
      </c>
      <c r="E8" s="39" t="s">
        <v>16</v>
      </c>
      <c r="F8">
        <v>2022</v>
      </c>
      <c r="G8" t="s">
        <v>47</v>
      </c>
      <c r="H8" t="s">
        <v>53</v>
      </c>
      <c r="I8" t="s">
        <v>50</v>
      </c>
      <c r="J8">
        <v>14</v>
      </c>
      <c r="K8" t="s">
        <v>13</v>
      </c>
      <c r="L8">
        <v>2023</v>
      </c>
      <c r="M8" t="s">
        <v>1062</v>
      </c>
      <c r="N8" t="s">
        <v>51</v>
      </c>
      <c r="O8" t="s">
        <v>54</v>
      </c>
      <c r="P8" t="s">
        <v>52</v>
      </c>
      <c r="Q8">
        <v>806</v>
      </c>
      <c r="R8" s="38" t="str">
        <f t="shared" ref="R8:R39" si="0">H8&amp;" Y "&amp;I8</f>
        <v xml:space="preserve">FERNANDO VAZQUEZ GAMEZ Y ALEJANDRA SALVADOR ZAMORANO </v>
      </c>
      <c r="S8" s="38" t="str">
        <f t="shared" ref="S8:S39" si="1">D8&amp;" "&amp;E8&amp;" DE "&amp;F8</f>
        <v>3 ABRIL DE 2022</v>
      </c>
      <c r="T8" s="38" t="str">
        <f t="shared" ref="T8:T39" si="2">J8&amp;" "&amp;K8&amp;" DE "&amp;L8</f>
        <v>14 ENERO DE 2023</v>
      </c>
      <c r="U8">
        <v>2</v>
      </c>
      <c r="V8">
        <v>198</v>
      </c>
      <c r="W8">
        <v>396</v>
      </c>
    </row>
    <row r="9" spans="1:23">
      <c r="A9" s="38">
        <v>2</v>
      </c>
      <c r="B9" s="24" t="s">
        <v>55</v>
      </c>
      <c r="D9">
        <v>19</v>
      </c>
      <c r="E9" s="39" t="s">
        <v>14</v>
      </c>
      <c r="F9">
        <v>2022</v>
      </c>
      <c r="G9" s="12" t="s">
        <v>47</v>
      </c>
      <c r="H9" s="12" t="s">
        <v>56</v>
      </c>
      <c r="I9" s="12" t="s">
        <v>59</v>
      </c>
      <c r="J9">
        <v>18</v>
      </c>
      <c r="K9" t="s">
        <v>14</v>
      </c>
      <c r="L9">
        <v>2023</v>
      </c>
      <c r="M9" t="s">
        <v>1062</v>
      </c>
      <c r="N9" s="12" t="s">
        <v>57</v>
      </c>
      <c r="O9" s="12" t="s">
        <v>58</v>
      </c>
      <c r="P9" t="s">
        <v>52</v>
      </c>
      <c r="Q9">
        <v>434</v>
      </c>
      <c r="R9" s="38" t="str">
        <f t="shared" si="0"/>
        <v>JESUS EDUARDO ESCALANTE ROSALES Y ALEJANDRA DALI BRUNET FIGUEROA</v>
      </c>
      <c r="S9" s="38" t="str">
        <f t="shared" si="1"/>
        <v>19 FEBRERO DE 2022</v>
      </c>
      <c r="T9" s="38" t="str">
        <f t="shared" si="2"/>
        <v>18 FEBRERO DE 2023</v>
      </c>
      <c r="U9">
        <v>2</v>
      </c>
      <c r="V9">
        <v>199</v>
      </c>
      <c r="W9">
        <v>397</v>
      </c>
    </row>
    <row r="10" spans="1:23">
      <c r="A10" s="38">
        <v>3</v>
      </c>
      <c r="B10" s="24" t="s">
        <v>60</v>
      </c>
      <c r="D10">
        <v>21</v>
      </c>
      <c r="E10" s="39" t="s">
        <v>14</v>
      </c>
      <c r="F10">
        <v>2022</v>
      </c>
      <c r="G10" s="12" t="s">
        <v>47</v>
      </c>
      <c r="H10" s="12" t="s">
        <v>61</v>
      </c>
      <c r="I10" s="12" t="s">
        <v>64</v>
      </c>
      <c r="J10">
        <v>4</v>
      </c>
      <c r="K10" t="s">
        <v>15</v>
      </c>
      <c r="L10">
        <v>2023</v>
      </c>
      <c r="M10" t="s">
        <v>1062</v>
      </c>
      <c r="N10" s="12" t="s">
        <v>62</v>
      </c>
      <c r="O10" s="12" t="s">
        <v>63</v>
      </c>
      <c r="P10" t="s">
        <v>52</v>
      </c>
      <c r="Q10">
        <v>762</v>
      </c>
      <c r="R10" s="38" t="str">
        <f t="shared" si="0"/>
        <v>MARTIN ALEJANDRO GUZMAN DURON Y CINTHYA YANETH CASAS CORRALES</v>
      </c>
      <c r="S10" s="38" t="str">
        <f t="shared" si="1"/>
        <v>21 FEBRERO DE 2022</v>
      </c>
      <c r="T10" s="38" t="str">
        <f t="shared" si="2"/>
        <v>4 MARZO DE 2023</v>
      </c>
      <c r="U10">
        <v>2</v>
      </c>
      <c r="V10">
        <v>199</v>
      </c>
      <c r="W10">
        <v>398</v>
      </c>
    </row>
    <row r="11" spans="1:23">
      <c r="A11" s="38">
        <v>4</v>
      </c>
      <c r="B11" s="24" t="s">
        <v>65</v>
      </c>
      <c r="D11">
        <v>9</v>
      </c>
      <c r="E11" s="55" t="s">
        <v>15</v>
      </c>
      <c r="F11">
        <v>2022</v>
      </c>
      <c r="G11" s="12" t="s">
        <v>47</v>
      </c>
      <c r="H11" s="12" t="s">
        <v>66</v>
      </c>
      <c r="I11" s="12" t="s">
        <v>67</v>
      </c>
      <c r="J11">
        <v>4</v>
      </c>
      <c r="K11" s="12" t="s">
        <v>15</v>
      </c>
      <c r="L11">
        <v>2023</v>
      </c>
      <c r="M11" t="s">
        <v>1062</v>
      </c>
      <c r="N11" s="12" t="s">
        <v>68</v>
      </c>
      <c r="O11" s="12" t="s">
        <v>69</v>
      </c>
      <c r="P11" t="s">
        <v>52</v>
      </c>
      <c r="Q11">
        <v>1024</v>
      </c>
      <c r="R11" s="38" t="str">
        <f t="shared" si="0"/>
        <v>OSCAR ALEJANDRO ORTIZ CAMPOS Y DIANA ALEXIS ALVAREZ BELTRAN</v>
      </c>
      <c r="S11" s="38" t="str">
        <f t="shared" si="1"/>
        <v>9 MARZO DE 2022</v>
      </c>
      <c r="T11" s="38" t="str">
        <f t="shared" si="2"/>
        <v>4 MARZO DE 2023</v>
      </c>
      <c r="U11">
        <v>2</v>
      </c>
      <c r="V11">
        <v>200</v>
      </c>
      <c r="W11">
        <v>399</v>
      </c>
    </row>
    <row r="12" spans="1:23">
      <c r="A12" s="38">
        <v>5</v>
      </c>
      <c r="B12" s="24" t="s">
        <v>70</v>
      </c>
      <c r="D12">
        <v>1</v>
      </c>
      <c r="E12" s="55" t="s">
        <v>16</v>
      </c>
      <c r="F12">
        <v>2022</v>
      </c>
      <c r="G12" s="12" t="s">
        <v>47</v>
      </c>
      <c r="H12" s="12" t="s">
        <v>73</v>
      </c>
      <c r="I12" s="12" t="s">
        <v>71</v>
      </c>
      <c r="J12">
        <v>12</v>
      </c>
      <c r="K12" s="12" t="s">
        <v>72</v>
      </c>
      <c r="L12">
        <v>2023</v>
      </c>
      <c r="M12" t="s">
        <v>1062</v>
      </c>
      <c r="N12" s="12" t="s">
        <v>75</v>
      </c>
      <c r="O12" s="12" t="s">
        <v>74</v>
      </c>
      <c r="P12" t="s">
        <v>52</v>
      </c>
      <c r="Q12">
        <v>2099</v>
      </c>
      <c r="R12" s="38" t="str">
        <f t="shared" si="0"/>
        <v>ANGEL JAFET DELGADO CHAVEZ Y ROCIO ESMERALDA ENCINAS BRACAMONTES</v>
      </c>
      <c r="S12" s="38" t="str">
        <f t="shared" si="1"/>
        <v>1 ABRIL DE 2022</v>
      </c>
      <c r="T12" s="38" t="str">
        <f t="shared" si="2"/>
        <v>12 MARZO  DE 2023</v>
      </c>
      <c r="U12">
        <v>2</v>
      </c>
      <c r="V12">
        <v>200</v>
      </c>
      <c r="W12">
        <v>400</v>
      </c>
    </row>
    <row r="13" spans="1:23">
      <c r="A13" s="38">
        <v>6</v>
      </c>
      <c r="B13" s="24" t="s">
        <v>76</v>
      </c>
      <c r="D13">
        <v>28</v>
      </c>
      <c r="E13" s="55" t="s">
        <v>14</v>
      </c>
      <c r="F13">
        <v>2020</v>
      </c>
      <c r="G13" s="12" t="s">
        <v>47</v>
      </c>
      <c r="H13" s="12" t="s">
        <v>77</v>
      </c>
      <c r="I13" s="12" t="s">
        <v>78</v>
      </c>
      <c r="J13">
        <v>18</v>
      </c>
      <c r="K13" s="12" t="s">
        <v>15</v>
      </c>
      <c r="L13">
        <v>2023</v>
      </c>
      <c r="M13" t="s">
        <v>1062</v>
      </c>
      <c r="N13" s="12" t="s">
        <v>79</v>
      </c>
      <c r="O13" s="12" t="s">
        <v>80</v>
      </c>
      <c r="P13" t="s">
        <v>52</v>
      </c>
      <c r="Q13">
        <v>766</v>
      </c>
      <c r="R13" s="38" t="str">
        <f t="shared" si="0"/>
        <v>FERNANDO NAVA GUEVARA Y MARISOL ESQUER CASTRO</v>
      </c>
      <c r="S13" s="38" t="str">
        <f t="shared" si="1"/>
        <v>28 FEBRERO DE 2020</v>
      </c>
      <c r="T13" s="38" t="str">
        <f t="shared" si="2"/>
        <v>18 MARZO DE 2023</v>
      </c>
      <c r="U13">
        <v>2</v>
      </c>
      <c r="V13">
        <v>201</v>
      </c>
      <c r="W13">
        <v>401</v>
      </c>
    </row>
    <row r="14" spans="1:23">
      <c r="A14" s="38">
        <v>7</v>
      </c>
      <c r="B14" s="24" t="s">
        <v>81</v>
      </c>
      <c r="D14">
        <v>10</v>
      </c>
      <c r="E14" s="55" t="s">
        <v>15</v>
      </c>
      <c r="F14">
        <v>2022</v>
      </c>
      <c r="G14" s="12" t="s">
        <v>47</v>
      </c>
      <c r="H14" s="12" t="s">
        <v>82</v>
      </c>
      <c r="I14" s="12" t="s">
        <v>83</v>
      </c>
      <c r="J14">
        <v>18</v>
      </c>
      <c r="K14" s="12" t="s">
        <v>15</v>
      </c>
      <c r="L14">
        <v>2023</v>
      </c>
      <c r="M14" t="s">
        <v>1062</v>
      </c>
      <c r="N14" s="12" t="s">
        <v>84</v>
      </c>
      <c r="O14" s="12" t="s">
        <v>85</v>
      </c>
      <c r="P14" t="s">
        <v>52</v>
      </c>
      <c r="Q14">
        <v>457</v>
      </c>
      <c r="R14" s="38" t="str">
        <f t="shared" si="0"/>
        <v>EDGARDO LOPEZ ANGUIS Y ESTEFANIA GUADALUPE ALMADA FUENTES</v>
      </c>
      <c r="S14" s="38" t="str">
        <f t="shared" si="1"/>
        <v>10 MARZO DE 2022</v>
      </c>
      <c r="T14" s="38" t="str">
        <f t="shared" si="2"/>
        <v>18 MARZO DE 2023</v>
      </c>
      <c r="U14">
        <v>2</v>
      </c>
      <c r="V14">
        <v>201</v>
      </c>
      <c r="W14">
        <v>402</v>
      </c>
    </row>
    <row r="15" spans="1:23">
      <c r="A15" s="38">
        <v>8</v>
      </c>
      <c r="B15" s="24" t="s">
        <v>86</v>
      </c>
      <c r="D15">
        <v>28</v>
      </c>
      <c r="E15" s="55" t="s">
        <v>21</v>
      </c>
      <c r="F15">
        <v>2021</v>
      </c>
      <c r="G15" s="12" t="s">
        <v>47</v>
      </c>
      <c r="H15" s="12" t="s">
        <v>87</v>
      </c>
      <c r="I15" s="12" t="s">
        <v>88</v>
      </c>
      <c r="J15">
        <v>18</v>
      </c>
      <c r="K15" s="12" t="s">
        <v>15</v>
      </c>
      <c r="L15">
        <v>2023</v>
      </c>
      <c r="M15" t="s">
        <v>1062</v>
      </c>
      <c r="N15" s="12" t="s">
        <v>89</v>
      </c>
      <c r="O15" s="12" t="s">
        <v>90</v>
      </c>
      <c r="P15" t="s">
        <v>52</v>
      </c>
      <c r="Q15">
        <v>1764</v>
      </c>
      <c r="R15" s="38" t="str">
        <f t="shared" si="0"/>
        <v>JORGE ANDRES ROMERO ANDRADE Y MARTHA SELENE PEREZ OROZCO</v>
      </c>
      <c r="S15" s="38" t="str">
        <f t="shared" si="1"/>
        <v>28 OCTUBRE DE 2021</v>
      </c>
      <c r="T15" s="38" t="str">
        <f t="shared" si="2"/>
        <v>18 MARZO DE 2023</v>
      </c>
      <c r="U15">
        <v>2</v>
      </c>
      <c r="V15">
        <v>202</v>
      </c>
      <c r="W15">
        <v>403</v>
      </c>
    </row>
    <row r="16" spans="1:23">
      <c r="A16" s="38">
        <v>9</v>
      </c>
      <c r="B16" s="24" t="s">
        <v>91</v>
      </c>
      <c r="D16">
        <v>21</v>
      </c>
      <c r="E16" s="55" t="s">
        <v>16</v>
      </c>
      <c r="F16">
        <v>2019</v>
      </c>
      <c r="G16" s="12" t="s">
        <v>1477</v>
      </c>
      <c r="H16" s="12" t="s">
        <v>95</v>
      </c>
      <c r="I16" s="12" t="s">
        <v>92</v>
      </c>
      <c r="J16">
        <v>19</v>
      </c>
      <c r="K16" s="12" t="s">
        <v>15</v>
      </c>
      <c r="L16">
        <v>2023</v>
      </c>
      <c r="M16" t="s">
        <v>1062</v>
      </c>
      <c r="N16" s="12" t="s">
        <v>93</v>
      </c>
      <c r="O16" s="12" t="s">
        <v>94</v>
      </c>
      <c r="P16" t="s">
        <v>52</v>
      </c>
      <c r="Q16">
        <v>23727</v>
      </c>
      <c r="R16" s="38" t="str">
        <f t="shared" si="0"/>
        <v>JESUS MIGUEL ARAIZA CARRILLO Y NEREYDA ALEXANDRA REYNA HERNANDEZ</v>
      </c>
      <c r="S16" s="38" t="str">
        <f t="shared" si="1"/>
        <v>21 ABRIL DE 2019</v>
      </c>
      <c r="T16" s="38" t="str">
        <f t="shared" si="2"/>
        <v>19 MARZO DE 2023</v>
      </c>
      <c r="U16">
        <v>2</v>
      </c>
      <c r="V16">
        <v>202</v>
      </c>
      <c r="W16">
        <v>404</v>
      </c>
    </row>
    <row r="17" spans="1:23">
      <c r="A17" s="38">
        <v>10</v>
      </c>
      <c r="B17" s="24" t="s">
        <v>96</v>
      </c>
      <c r="D17">
        <v>10</v>
      </c>
      <c r="E17" s="55" t="s">
        <v>13</v>
      </c>
      <c r="F17">
        <v>2021</v>
      </c>
      <c r="G17" s="12" t="s">
        <v>1477</v>
      </c>
      <c r="H17" s="12" t="s">
        <v>95</v>
      </c>
      <c r="I17" s="12" t="s">
        <v>92</v>
      </c>
      <c r="J17">
        <v>19</v>
      </c>
      <c r="K17" s="12" t="s">
        <v>15</v>
      </c>
      <c r="L17">
        <v>2023</v>
      </c>
      <c r="M17" t="s">
        <v>1062</v>
      </c>
      <c r="N17" s="12" t="s">
        <v>97</v>
      </c>
      <c r="O17" s="12" t="s">
        <v>98</v>
      </c>
      <c r="P17" t="s">
        <v>52</v>
      </c>
      <c r="Q17">
        <v>57495</v>
      </c>
      <c r="R17" s="38" t="str">
        <f t="shared" si="0"/>
        <v>JESUS MIGUEL ARAIZA CARRILLO Y NEREYDA ALEXANDRA REYNA HERNANDEZ</v>
      </c>
      <c r="S17" s="38" t="str">
        <f t="shared" si="1"/>
        <v>10 ENERO DE 2021</v>
      </c>
      <c r="T17" s="38" t="str">
        <f t="shared" si="2"/>
        <v>19 MARZO DE 2023</v>
      </c>
      <c r="U17">
        <v>2</v>
      </c>
      <c r="V17">
        <v>203</v>
      </c>
      <c r="W17">
        <v>405</v>
      </c>
    </row>
    <row r="18" spans="1:23">
      <c r="A18" s="38">
        <v>11</v>
      </c>
      <c r="B18" s="24" t="s">
        <v>108</v>
      </c>
      <c r="D18">
        <v>31</v>
      </c>
      <c r="E18" s="55" t="s">
        <v>23</v>
      </c>
      <c r="F18">
        <v>2021</v>
      </c>
      <c r="G18" s="12" t="s">
        <v>47</v>
      </c>
      <c r="H18" s="12" t="s">
        <v>99</v>
      </c>
      <c r="I18" s="12" t="s">
        <v>100</v>
      </c>
      <c r="J18">
        <v>19</v>
      </c>
      <c r="K18" s="12" t="s">
        <v>15</v>
      </c>
      <c r="L18">
        <v>2023</v>
      </c>
      <c r="M18" t="s">
        <v>1062</v>
      </c>
      <c r="N18" s="12" t="s">
        <v>101</v>
      </c>
      <c r="O18" s="12" t="s">
        <v>102</v>
      </c>
      <c r="P18" t="s">
        <v>52</v>
      </c>
      <c r="Q18">
        <v>597</v>
      </c>
      <c r="R18" s="38" t="str">
        <f t="shared" si="0"/>
        <v>JESUS YOBANI SEGURA GARCIA Y ADILENE FRANCISCA CAMARGO CASTELO</v>
      </c>
      <c r="S18" s="38" t="str">
        <f t="shared" si="1"/>
        <v>31 DICIEMBRE DE 2021</v>
      </c>
      <c r="T18" s="38" t="str">
        <f t="shared" si="2"/>
        <v>19 MARZO DE 2023</v>
      </c>
      <c r="U18">
        <v>2</v>
      </c>
      <c r="V18">
        <v>203</v>
      </c>
      <c r="W18">
        <v>406</v>
      </c>
    </row>
    <row r="19" spans="1:23">
      <c r="A19" s="38">
        <v>12</v>
      </c>
      <c r="B19" s="24" t="s">
        <v>109</v>
      </c>
      <c r="D19">
        <v>10</v>
      </c>
      <c r="E19" s="55" t="s">
        <v>20</v>
      </c>
      <c r="F19">
        <v>2022</v>
      </c>
      <c r="G19" s="12" t="s">
        <v>47</v>
      </c>
      <c r="H19" s="12" t="s">
        <v>113</v>
      </c>
      <c r="I19" s="12" t="s">
        <v>110</v>
      </c>
      <c r="J19">
        <v>26</v>
      </c>
      <c r="K19" s="12" t="s">
        <v>72</v>
      </c>
      <c r="L19">
        <v>2023</v>
      </c>
      <c r="M19" t="s">
        <v>1062</v>
      </c>
      <c r="N19" s="12" t="s">
        <v>111</v>
      </c>
      <c r="O19" s="12" t="s">
        <v>112</v>
      </c>
      <c r="P19" t="s">
        <v>52</v>
      </c>
      <c r="Q19">
        <v>3443</v>
      </c>
      <c r="R19" s="38" t="str">
        <f t="shared" si="0"/>
        <v>JOHNATAN MURILLO VELARDE Y CRISTINA GUADALUPE ROBLES MOROYOQUI</v>
      </c>
      <c r="S19" s="38" t="str">
        <f t="shared" si="1"/>
        <v>10 AGOSTO DE 2022</v>
      </c>
      <c r="T19" s="38" t="str">
        <f t="shared" si="2"/>
        <v>26 MARZO  DE 2023</v>
      </c>
      <c r="U19">
        <v>2</v>
      </c>
      <c r="V19">
        <v>204</v>
      </c>
      <c r="W19">
        <v>407</v>
      </c>
    </row>
    <row r="20" spans="1:23">
      <c r="A20" s="38">
        <v>13</v>
      </c>
      <c r="B20" s="24" t="s">
        <v>114</v>
      </c>
      <c r="D20">
        <v>6</v>
      </c>
      <c r="E20" s="55" t="s">
        <v>17</v>
      </c>
      <c r="F20">
        <v>2013</v>
      </c>
      <c r="G20" s="12" t="s">
        <v>115</v>
      </c>
      <c r="H20" s="12" t="s">
        <v>116</v>
      </c>
      <c r="I20" s="12" t="s">
        <v>117</v>
      </c>
      <c r="J20">
        <v>26</v>
      </c>
      <c r="K20" s="12" t="s">
        <v>15</v>
      </c>
      <c r="L20">
        <v>2023</v>
      </c>
      <c r="M20" t="s">
        <v>1062</v>
      </c>
      <c r="N20" s="12" t="s">
        <v>118</v>
      </c>
      <c r="P20" t="s">
        <v>52</v>
      </c>
      <c r="Q20">
        <v>928</v>
      </c>
      <c r="R20" s="38" t="str">
        <f t="shared" si="0"/>
        <v>MANUEL RODRIGUEZ LOPEZ Y MARIA FERNANDA ORTEZ RODRIGUEZ</v>
      </c>
      <c r="S20" s="38" t="str">
        <f t="shared" si="1"/>
        <v>6 MAYO DE 2013</v>
      </c>
      <c r="T20" s="38" t="str">
        <f t="shared" si="2"/>
        <v>26 MARZO DE 2023</v>
      </c>
      <c r="U20">
        <v>2</v>
      </c>
      <c r="V20">
        <v>204</v>
      </c>
      <c r="W20">
        <v>408</v>
      </c>
    </row>
    <row r="21" spans="1:23">
      <c r="A21" s="38">
        <v>14</v>
      </c>
      <c r="B21" s="24" t="s">
        <v>119</v>
      </c>
      <c r="D21">
        <v>28</v>
      </c>
      <c r="E21" s="55" t="s">
        <v>19</v>
      </c>
      <c r="F21">
        <v>2022</v>
      </c>
      <c r="G21" s="12" t="s">
        <v>47</v>
      </c>
      <c r="H21" s="12" t="s">
        <v>120</v>
      </c>
      <c r="I21" s="12" t="s">
        <v>121</v>
      </c>
      <c r="J21">
        <v>26</v>
      </c>
      <c r="K21" s="12" t="s">
        <v>15</v>
      </c>
      <c r="L21">
        <v>2023</v>
      </c>
      <c r="M21" t="s">
        <v>1062</v>
      </c>
      <c r="N21" s="12" t="s">
        <v>122</v>
      </c>
      <c r="O21" s="12" t="s">
        <v>123</v>
      </c>
      <c r="P21" t="s">
        <v>52</v>
      </c>
      <c r="Q21">
        <v>1268</v>
      </c>
      <c r="R21" s="38" t="str">
        <f t="shared" si="0"/>
        <v>CARLOS ALBERTO CARRION TRACONIS Y MARCIA IVONE ZEPEDA PERALTA</v>
      </c>
      <c r="S21" s="38" t="str">
        <f t="shared" si="1"/>
        <v>28 JULIO DE 2022</v>
      </c>
      <c r="T21" s="38" t="str">
        <f t="shared" si="2"/>
        <v>26 MARZO DE 2023</v>
      </c>
      <c r="U21">
        <v>2</v>
      </c>
      <c r="V21">
        <v>205</v>
      </c>
      <c r="W21">
        <v>409</v>
      </c>
    </row>
    <row r="22" spans="1:23">
      <c r="A22" s="38">
        <v>15</v>
      </c>
      <c r="B22" s="24" t="s">
        <v>124</v>
      </c>
      <c r="D22">
        <v>24</v>
      </c>
      <c r="E22" s="55" t="s">
        <v>19</v>
      </c>
      <c r="F22">
        <v>2005</v>
      </c>
      <c r="G22" s="12" t="s">
        <v>47</v>
      </c>
      <c r="H22" s="12" t="s">
        <v>125</v>
      </c>
      <c r="I22" s="12" t="s">
        <v>126</v>
      </c>
      <c r="J22">
        <v>29</v>
      </c>
      <c r="K22" s="12" t="s">
        <v>15</v>
      </c>
      <c r="L22">
        <v>2023</v>
      </c>
      <c r="M22" t="s">
        <v>1062</v>
      </c>
      <c r="N22" s="12" t="s">
        <v>127</v>
      </c>
      <c r="O22" s="12" t="s">
        <v>128</v>
      </c>
      <c r="P22" t="s">
        <v>52</v>
      </c>
      <c r="Q22">
        <v>474</v>
      </c>
      <c r="R22" s="38" t="str">
        <f t="shared" si="0"/>
        <v>JAVIER GARCIA CASTRO Y CLAUDIA NORIEGA BARRERA</v>
      </c>
      <c r="S22" s="38" t="str">
        <f t="shared" si="1"/>
        <v>24 JULIO DE 2005</v>
      </c>
      <c r="T22" s="38" t="str">
        <f t="shared" si="2"/>
        <v>29 MARZO DE 2023</v>
      </c>
      <c r="U22">
        <v>2</v>
      </c>
      <c r="V22">
        <v>205</v>
      </c>
      <c r="W22">
        <v>410</v>
      </c>
    </row>
    <row r="23" spans="1:23">
      <c r="A23" s="38">
        <v>16</v>
      </c>
      <c r="B23" s="24" t="s">
        <v>130</v>
      </c>
      <c r="D23">
        <v>18</v>
      </c>
      <c r="E23" s="55" t="s">
        <v>23</v>
      </c>
      <c r="F23">
        <v>2013</v>
      </c>
      <c r="G23" s="12" t="s">
        <v>47</v>
      </c>
      <c r="H23" s="12" t="s">
        <v>131</v>
      </c>
      <c r="J23">
        <v>1</v>
      </c>
      <c r="K23" s="12" t="s">
        <v>16</v>
      </c>
      <c r="L23">
        <v>2023</v>
      </c>
      <c r="M23" t="s">
        <v>1062</v>
      </c>
      <c r="N23" s="12" t="s">
        <v>132</v>
      </c>
      <c r="O23" s="12" t="s">
        <v>133</v>
      </c>
      <c r="P23" t="s">
        <v>52</v>
      </c>
      <c r="Q23">
        <v>1238</v>
      </c>
      <c r="R23" s="38" t="str">
        <f t="shared" si="0"/>
        <v xml:space="preserve">ALVARO OSWALDO GARCIA ARIAS Y </v>
      </c>
      <c r="S23" s="38" t="str">
        <f t="shared" si="1"/>
        <v>18 DICIEMBRE DE 2013</v>
      </c>
      <c r="T23" s="38" t="str">
        <f t="shared" si="2"/>
        <v>1 ABRIL DE 2023</v>
      </c>
      <c r="U23">
        <v>2</v>
      </c>
      <c r="V23">
        <v>206</v>
      </c>
      <c r="W23">
        <v>411</v>
      </c>
    </row>
    <row r="24" spans="1:23">
      <c r="A24" s="38">
        <v>17</v>
      </c>
      <c r="B24" s="24" t="s">
        <v>134</v>
      </c>
      <c r="D24">
        <v>26</v>
      </c>
      <c r="E24" s="55" t="s">
        <v>14</v>
      </c>
      <c r="F24">
        <v>2022</v>
      </c>
      <c r="G24" s="12" t="s">
        <v>47</v>
      </c>
      <c r="H24" s="12" t="s">
        <v>135</v>
      </c>
      <c r="I24" s="12" t="s">
        <v>136</v>
      </c>
      <c r="J24">
        <v>1</v>
      </c>
      <c r="K24" s="12" t="s">
        <v>16</v>
      </c>
      <c r="L24">
        <v>2023</v>
      </c>
      <c r="M24" t="s">
        <v>1062</v>
      </c>
      <c r="N24" s="12" t="s">
        <v>137</v>
      </c>
      <c r="O24" s="12" t="s">
        <v>138</v>
      </c>
      <c r="P24" t="s">
        <v>52</v>
      </c>
      <c r="Q24">
        <v>1303</v>
      </c>
      <c r="R24" s="38" t="str">
        <f t="shared" si="0"/>
        <v>AURELIANO MOLINA DANIEL Y ELIZABETH ORTIZ VALENCIA</v>
      </c>
      <c r="S24" s="38" t="str">
        <f t="shared" si="1"/>
        <v>26 FEBRERO DE 2022</v>
      </c>
      <c r="T24" s="38" t="str">
        <f t="shared" si="2"/>
        <v>1 ABRIL DE 2023</v>
      </c>
      <c r="U24">
        <v>2</v>
      </c>
      <c r="V24">
        <v>206</v>
      </c>
      <c r="W24">
        <v>412</v>
      </c>
    </row>
    <row r="25" spans="1:23">
      <c r="A25" s="38">
        <v>18</v>
      </c>
      <c r="B25" s="24" t="s">
        <v>139</v>
      </c>
      <c r="D25">
        <v>3</v>
      </c>
      <c r="E25" s="55" t="s">
        <v>22</v>
      </c>
      <c r="F25">
        <v>2022</v>
      </c>
      <c r="G25" s="12" t="s">
        <v>47</v>
      </c>
      <c r="H25" s="12" t="s">
        <v>140</v>
      </c>
      <c r="I25" s="12" t="s">
        <v>141</v>
      </c>
      <c r="J25">
        <v>16</v>
      </c>
      <c r="K25" s="12" t="s">
        <v>16</v>
      </c>
      <c r="L25">
        <v>2023</v>
      </c>
      <c r="M25" t="s">
        <v>1062</v>
      </c>
      <c r="N25" s="12" t="s">
        <v>142</v>
      </c>
      <c r="O25" s="12" t="s">
        <v>143</v>
      </c>
      <c r="P25" t="s">
        <v>52</v>
      </c>
      <c r="Q25">
        <v>2385</v>
      </c>
      <c r="R25" s="38" t="str">
        <f>H25&amp;" Y "&amp;I25</f>
        <v>MIGUEL ALFONSO PATRON AVILES Y KAREN VIANNEY GALVEZ GARCIA</v>
      </c>
      <c r="S25" s="38" t="str">
        <f t="shared" si="1"/>
        <v>3 NOVIEMBRE DE 2022</v>
      </c>
      <c r="T25" s="38" t="str">
        <f t="shared" si="2"/>
        <v>16 ABRIL DE 2023</v>
      </c>
      <c r="U25">
        <v>2</v>
      </c>
      <c r="V25">
        <v>207</v>
      </c>
      <c r="W25">
        <v>413</v>
      </c>
    </row>
    <row r="26" spans="1:23">
      <c r="A26" s="38">
        <v>19</v>
      </c>
      <c r="B26" s="24" t="s">
        <v>144</v>
      </c>
      <c r="D26">
        <v>29</v>
      </c>
      <c r="E26" s="55" t="s">
        <v>22</v>
      </c>
      <c r="F26">
        <v>2021</v>
      </c>
      <c r="G26" s="12" t="s">
        <v>47</v>
      </c>
      <c r="H26" s="12" t="s">
        <v>140</v>
      </c>
      <c r="I26" s="12" t="s">
        <v>141</v>
      </c>
      <c r="J26">
        <v>16</v>
      </c>
      <c r="K26" s="12" t="s">
        <v>16</v>
      </c>
      <c r="L26">
        <v>2023</v>
      </c>
      <c r="M26" t="s">
        <v>1062</v>
      </c>
      <c r="N26" s="12" t="s">
        <v>142</v>
      </c>
      <c r="O26" s="12" t="s">
        <v>143</v>
      </c>
      <c r="P26" t="s">
        <v>52</v>
      </c>
      <c r="Q26">
        <v>1822</v>
      </c>
      <c r="R26" s="38" t="str">
        <f>H26&amp;" Y "&amp;I26</f>
        <v>MIGUEL ALFONSO PATRON AVILES Y KAREN VIANNEY GALVEZ GARCIA</v>
      </c>
      <c r="S26" s="38" t="str">
        <f t="shared" si="1"/>
        <v>29 NOVIEMBRE DE 2021</v>
      </c>
      <c r="T26" s="38" t="str">
        <f t="shared" si="2"/>
        <v>16 ABRIL DE 2023</v>
      </c>
      <c r="U26">
        <v>2</v>
      </c>
      <c r="V26">
        <v>207</v>
      </c>
      <c r="W26">
        <v>414</v>
      </c>
    </row>
    <row r="27" spans="1:23">
      <c r="A27" s="38">
        <v>20</v>
      </c>
      <c r="B27" s="24" t="s">
        <v>224</v>
      </c>
      <c r="D27">
        <v>6</v>
      </c>
      <c r="E27" s="55" t="s">
        <v>23</v>
      </c>
      <c r="F27">
        <v>2022</v>
      </c>
      <c r="G27" s="12" t="s">
        <v>47</v>
      </c>
      <c r="H27" s="12" t="s">
        <v>225</v>
      </c>
      <c r="I27" s="12" t="s">
        <v>228</v>
      </c>
      <c r="J27">
        <v>23</v>
      </c>
      <c r="K27" s="12" t="s">
        <v>16</v>
      </c>
      <c r="L27">
        <v>2023</v>
      </c>
      <c r="M27" t="s">
        <v>1062</v>
      </c>
      <c r="N27" s="12" t="s">
        <v>226</v>
      </c>
      <c r="O27" s="12" t="s">
        <v>227</v>
      </c>
      <c r="P27" t="s">
        <v>52</v>
      </c>
      <c r="Q27">
        <v>158</v>
      </c>
      <c r="R27" s="38" t="str">
        <f t="shared" si="0"/>
        <v>JESUS TADEO RASCON ANDRADE Y ANA ISABEL CARvAJAL ACUÑA</v>
      </c>
      <c r="S27" s="38" t="str">
        <f t="shared" si="1"/>
        <v>6 DICIEMBRE DE 2022</v>
      </c>
      <c r="T27" s="38" t="str">
        <f t="shared" si="2"/>
        <v>23 ABRIL DE 2023</v>
      </c>
      <c r="U27">
        <v>2</v>
      </c>
      <c r="V27">
        <v>208</v>
      </c>
      <c r="W27">
        <v>415</v>
      </c>
    </row>
    <row r="28" spans="1:23">
      <c r="A28" s="38">
        <v>21</v>
      </c>
      <c r="B28" s="24" t="s">
        <v>331</v>
      </c>
      <c r="D28">
        <v>10</v>
      </c>
      <c r="E28" s="55" t="s">
        <v>18</v>
      </c>
      <c r="F28">
        <v>2011</v>
      </c>
      <c r="G28" s="12" t="s">
        <v>47</v>
      </c>
      <c r="H28" s="12" t="s">
        <v>332</v>
      </c>
      <c r="I28" s="12" t="s">
        <v>333</v>
      </c>
      <c r="J28">
        <v>11</v>
      </c>
      <c r="K28" s="12" t="s">
        <v>17</v>
      </c>
      <c r="L28">
        <v>2023</v>
      </c>
      <c r="M28" t="s">
        <v>1062</v>
      </c>
      <c r="N28" s="12" t="s">
        <v>334</v>
      </c>
      <c r="O28" s="12" t="s">
        <v>335</v>
      </c>
      <c r="P28" t="s">
        <v>52</v>
      </c>
      <c r="Q28">
        <v>3177</v>
      </c>
      <c r="R28" s="38" t="str">
        <f t="shared" si="0"/>
        <v xml:space="preserve">GUSTAVO AGUILAR SANTACRUZ Y GLADYS JANETH ORTIZ LEON </v>
      </c>
      <c r="S28" s="38" t="str">
        <f t="shared" si="1"/>
        <v>10 JUNIO DE 2011</v>
      </c>
      <c r="T28" s="38" t="str">
        <f t="shared" si="2"/>
        <v>11 MAYO DE 2023</v>
      </c>
      <c r="U28">
        <v>2</v>
      </c>
      <c r="V28">
        <v>208</v>
      </c>
      <c r="W28">
        <v>416</v>
      </c>
    </row>
    <row r="29" spans="1:23">
      <c r="A29" s="38">
        <v>22</v>
      </c>
      <c r="B29" s="24" t="s">
        <v>577</v>
      </c>
      <c r="D29">
        <v>16</v>
      </c>
      <c r="E29" s="55" t="s">
        <v>20</v>
      </c>
      <c r="F29">
        <v>2022</v>
      </c>
      <c r="G29" s="12" t="s">
        <v>47</v>
      </c>
      <c r="H29" s="12" t="s">
        <v>578</v>
      </c>
      <c r="I29" s="12" t="s">
        <v>581</v>
      </c>
      <c r="J29">
        <v>21</v>
      </c>
      <c r="K29" s="12" t="s">
        <v>17</v>
      </c>
      <c r="L29">
        <v>2023</v>
      </c>
      <c r="M29" t="s">
        <v>1062</v>
      </c>
      <c r="N29" s="12" t="s">
        <v>579</v>
      </c>
      <c r="O29" s="12" t="s">
        <v>580</v>
      </c>
      <c r="P29" t="s">
        <v>52</v>
      </c>
      <c r="Q29">
        <v>2560</v>
      </c>
      <c r="R29" s="38" t="str">
        <f t="shared" si="0"/>
        <v>OSCAR ALAN BARRETO RIOS Y ROSA STEPHANIE VALENZUELA FLORES</v>
      </c>
      <c r="S29" s="38" t="str">
        <f t="shared" si="1"/>
        <v>16 AGOSTO DE 2022</v>
      </c>
      <c r="T29" s="38" t="str">
        <f t="shared" si="2"/>
        <v>21 MAYO DE 2023</v>
      </c>
      <c r="U29">
        <v>2</v>
      </c>
      <c r="V29">
        <v>209</v>
      </c>
      <c r="W29">
        <v>417</v>
      </c>
    </row>
    <row r="30" spans="1:23">
      <c r="A30" s="38">
        <v>23</v>
      </c>
      <c r="B30" s="24" t="s">
        <v>834</v>
      </c>
      <c r="D30">
        <v>25</v>
      </c>
      <c r="E30" s="55" t="s">
        <v>19</v>
      </c>
      <c r="F30">
        <v>2022</v>
      </c>
      <c r="G30" s="12" t="s">
        <v>47</v>
      </c>
      <c r="H30" s="12" t="s">
        <v>832</v>
      </c>
      <c r="I30" s="12" t="s">
        <v>835</v>
      </c>
      <c r="J30">
        <v>3</v>
      </c>
      <c r="K30" s="12" t="s">
        <v>18</v>
      </c>
      <c r="L30">
        <v>2023</v>
      </c>
      <c r="M30" t="s">
        <v>1062</v>
      </c>
      <c r="N30" s="12" t="s">
        <v>836</v>
      </c>
      <c r="O30" s="12" t="s">
        <v>833</v>
      </c>
      <c r="P30" t="s">
        <v>52</v>
      </c>
      <c r="Q30">
        <v>2190</v>
      </c>
      <c r="R30" s="38" t="str">
        <f t="shared" si="0"/>
        <v>LUIS NAPOLEON ISLAS IBARRA Y ANA DEL CARMEN KITAZAWA LEYVA</v>
      </c>
      <c r="S30" s="38" t="str">
        <f t="shared" si="1"/>
        <v>25 JULIO DE 2022</v>
      </c>
      <c r="T30" s="38" t="str">
        <f t="shared" si="2"/>
        <v>3 JUNIO DE 2023</v>
      </c>
      <c r="U30">
        <v>2</v>
      </c>
      <c r="V30">
        <v>209</v>
      </c>
      <c r="W30">
        <v>418</v>
      </c>
    </row>
    <row r="31" spans="1:23">
      <c r="A31" s="38">
        <v>24</v>
      </c>
      <c r="B31" s="24" t="s">
        <v>839</v>
      </c>
      <c r="D31">
        <v>9</v>
      </c>
      <c r="E31" s="55" t="s">
        <v>22</v>
      </c>
      <c r="F31">
        <v>2022</v>
      </c>
      <c r="G31" s="12" t="s">
        <v>47</v>
      </c>
      <c r="H31" s="12" t="s">
        <v>840</v>
      </c>
      <c r="I31" s="12" t="s">
        <v>841</v>
      </c>
      <c r="J31">
        <v>3</v>
      </c>
      <c r="K31" s="12" t="s">
        <v>18</v>
      </c>
      <c r="L31">
        <v>2023</v>
      </c>
      <c r="M31" t="s">
        <v>1062</v>
      </c>
      <c r="N31" s="12" t="s">
        <v>842</v>
      </c>
      <c r="O31" s="12" t="s">
        <v>843</v>
      </c>
      <c r="P31" t="s">
        <v>52</v>
      </c>
      <c r="Q31">
        <v>3200</v>
      </c>
      <c r="R31" s="38" t="str">
        <f t="shared" si="0"/>
        <v>JESUS ENRIQUE DE LA CRUZ ENCINAS Y VICTORIA BERENICE RESENDIZ MACHO</v>
      </c>
      <c r="S31" s="38" t="str">
        <f t="shared" si="1"/>
        <v>9 NOVIEMBRE DE 2022</v>
      </c>
      <c r="T31" s="38" t="str">
        <f t="shared" si="2"/>
        <v>3 JUNIO DE 2023</v>
      </c>
      <c r="U31">
        <v>2</v>
      </c>
      <c r="V31">
        <v>210</v>
      </c>
      <c r="W31">
        <v>419</v>
      </c>
    </row>
    <row r="32" spans="1:23">
      <c r="A32" s="38">
        <v>25</v>
      </c>
      <c r="B32" s="24" t="s">
        <v>844</v>
      </c>
      <c r="D32">
        <v>7</v>
      </c>
      <c r="E32" s="55" t="s">
        <v>13</v>
      </c>
      <c r="F32">
        <v>2023</v>
      </c>
      <c r="G32" s="12" t="s">
        <v>47</v>
      </c>
      <c r="H32" s="12" t="s">
        <v>845</v>
      </c>
      <c r="I32" s="12" t="s">
        <v>846</v>
      </c>
      <c r="J32">
        <v>11</v>
      </c>
      <c r="K32" s="12" t="s">
        <v>18</v>
      </c>
      <c r="L32">
        <v>2023</v>
      </c>
      <c r="M32" t="s">
        <v>1062</v>
      </c>
      <c r="N32" s="12" t="s">
        <v>847</v>
      </c>
      <c r="O32" s="12" t="s">
        <v>848</v>
      </c>
      <c r="P32" t="s">
        <v>52</v>
      </c>
      <c r="Q32">
        <v>335</v>
      </c>
      <c r="R32" s="38" t="str">
        <f t="shared" si="0"/>
        <v>LUIS FELIPE CORELLA OROZCO Y REYNA GUADALUPE SALCIDO CORRALES</v>
      </c>
      <c r="S32" s="38" t="str">
        <f t="shared" si="1"/>
        <v>7 ENERO DE 2023</v>
      </c>
      <c r="T32" s="38" t="str">
        <f t="shared" si="2"/>
        <v>11 JUNIO DE 2023</v>
      </c>
      <c r="U32">
        <v>2</v>
      </c>
      <c r="V32">
        <v>210</v>
      </c>
      <c r="W32">
        <v>420</v>
      </c>
    </row>
    <row r="33" spans="1:23">
      <c r="A33" s="38">
        <v>26</v>
      </c>
      <c r="B33" s="24" t="s">
        <v>912</v>
      </c>
      <c r="D33">
        <v>6</v>
      </c>
      <c r="E33" s="55" t="s">
        <v>18</v>
      </c>
      <c r="F33">
        <v>2022</v>
      </c>
      <c r="G33" s="12" t="s">
        <v>47</v>
      </c>
      <c r="H33" s="12" t="s">
        <v>913</v>
      </c>
      <c r="I33" s="12" t="s">
        <v>914</v>
      </c>
      <c r="J33">
        <v>11</v>
      </c>
      <c r="K33" s="12" t="s">
        <v>18</v>
      </c>
      <c r="L33">
        <v>2023</v>
      </c>
      <c r="M33" t="s">
        <v>1062</v>
      </c>
      <c r="N33" s="12" t="s">
        <v>915</v>
      </c>
      <c r="O33" s="12" t="s">
        <v>916</v>
      </c>
      <c r="P33" t="s">
        <v>52</v>
      </c>
      <c r="Q33">
        <v>1827</v>
      </c>
      <c r="R33" s="38" t="str">
        <f t="shared" si="0"/>
        <v>ANGEL DE JESUS CORRAL AGUILAR Y ZARET DE JESUS JIMENEZ TORRES</v>
      </c>
      <c r="S33" s="38" t="str">
        <f t="shared" si="1"/>
        <v>6 JUNIO DE 2022</v>
      </c>
      <c r="T33" s="38" t="str">
        <f t="shared" si="2"/>
        <v>11 JUNIO DE 2023</v>
      </c>
      <c r="U33">
        <v>2</v>
      </c>
      <c r="V33">
        <v>211</v>
      </c>
      <c r="W33">
        <v>421</v>
      </c>
    </row>
    <row r="34" spans="1:23">
      <c r="A34" s="38">
        <v>27</v>
      </c>
      <c r="B34" s="24" t="s">
        <v>1057</v>
      </c>
      <c r="D34">
        <v>12</v>
      </c>
      <c r="E34" s="55" t="s">
        <v>18</v>
      </c>
      <c r="F34">
        <v>2017</v>
      </c>
      <c r="G34" s="12" t="s">
        <v>47</v>
      </c>
      <c r="H34" s="12" t="s">
        <v>1058</v>
      </c>
      <c r="I34" s="12" t="s">
        <v>1059</v>
      </c>
      <c r="J34">
        <v>17</v>
      </c>
      <c r="K34" s="12" t="s">
        <v>584</v>
      </c>
      <c r="L34">
        <v>2023</v>
      </c>
      <c r="M34" t="s">
        <v>1063</v>
      </c>
      <c r="N34" s="12" t="s">
        <v>1060</v>
      </c>
      <c r="O34" s="12" t="s">
        <v>1061</v>
      </c>
      <c r="P34" t="s">
        <v>52</v>
      </c>
      <c r="Q34">
        <v>2476</v>
      </c>
      <c r="R34" s="38" t="str">
        <f t="shared" si="0"/>
        <v>MARTIN ALBERTO RUBIO VALENZUELA Y DOLORES MARGARITA SOLIS FLORES</v>
      </c>
      <c r="S34" s="38" t="str">
        <f t="shared" si="1"/>
        <v>12 JUNIO DE 2017</v>
      </c>
      <c r="T34" s="38" t="str">
        <f t="shared" si="2"/>
        <v>17 JUNIO  DE 2023</v>
      </c>
      <c r="U34">
        <v>2</v>
      </c>
      <c r="V34">
        <v>211</v>
      </c>
      <c r="W34">
        <v>422</v>
      </c>
    </row>
    <row r="35" spans="1:23">
      <c r="A35" s="38">
        <v>28</v>
      </c>
      <c r="B35" s="24" t="s">
        <v>1097</v>
      </c>
      <c r="D35">
        <v>30</v>
      </c>
      <c r="E35" s="55" t="s">
        <v>584</v>
      </c>
      <c r="F35">
        <v>2022</v>
      </c>
      <c r="G35" s="12" t="s">
        <v>47</v>
      </c>
      <c r="H35" s="12" t="s">
        <v>1098</v>
      </c>
      <c r="I35" s="12" t="s">
        <v>1099</v>
      </c>
      <c r="J35">
        <v>1</v>
      </c>
      <c r="K35" s="12" t="s">
        <v>1100</v>
      </c>
      <c r="L35">
        <v>2023</v>
      </c>
      <c r="M35" t="s">
        <v>1062</v>
      </c>
      <c r="N35" s="12" t="s">
        <v>1101</v>
      </c>
      <c r="O35" s="12" t="s">
        <v>1102</v>
      </c>
      <c r="P35" s="12" t="s">
        <v>52</v>
      </c>
      <c r="Q35">
        <v>1141</v>
      </c>
      <c r="R35" s="38" t="str">
        <f t="shared" si="0"/>
        <v>HANSEL EFRAIN MARTINEZ LLAMAS Y MARIA ISABEL MARTINEZ VALENCIA</v>
      </c>
      <c r="S35" s="38" t="str">
        <f t="shared" si="1"/>
        <v>30 JUNIO  DE 2022</v>
      </c>
      <c r="T35" s="38" t="str">
        <f t="shared" si="2"/>
        <v>1 JULIO  DE 2023</v>
      </c>
      <c r="U35">
        <v>2</v>
      </c>
      <c r="V35">
        <v>212</v>
      </c>
      <c r="W35">
        <v>423</v>
      </c>
    </row>
    <row r="36" spans="1:23">
      <c r="A36" s="38">
        <v>29</v>
      </c>
      <c r="B36" s="24" t="s">
        <v>1103</v>
      </c>
      <c r="D36">
        <v>14</v>
      </c>
      <c r="E36" s="55" t="s">
        <v>1104</v>
      </c>
      <c r="F36">
        <v>2023</v>
      </c>
      <c r="G36" s="12" t="s">
        <v>47</v>
      </c>
      <c r="H36" s="12" t="s">
        <v>1105</v>
      </c>
      <c r="I36" s="12" t="s">
        <v>1106</v>
      </c>
      <c r="J36">
        <v>8</v>
      </c>
      <c r="K36" s="12" t="s">
        <v>1100</v>
      </c>
      <c r="L36">
        <v>2023</v>
      </c>
      <c r="M36" t="s">
        <v>1062</v>
      </c>
      <c r="N36" s="12" t="s">
        <v>1109</v>
      </c>
      <c r="O36" s="12" t="s">
        <v>1107</v>
      </c>
      <c r="P36" s="12" t="s">
        <v>52</v>
      </c>
      <c r="Q36">
        <v>258</v>
      </c>
      <c r="R36" s="38" t="str">
        <f t="shared" si="0"/>
        <v>HUGO ERNESTO RUIZ DIAZ Y ALEJANDRA FIMBRES DURAZO</v>
      </c>
      <c r="S36" s="38" t="str">
        <f t="shared" si="1"/>
        <v>14 ENERO  DE 2023</v>
      </c>
      <c r="T36" s="38" t="str">
        <f t="shared" si="2"/>
        <v>8 JULIO  DE 2023</v>
      </c>
      <c r="U36">
        <v>2</v>
      </c>
      <c r="V36">
        <v>212</v>
      </c>
      <c r="W36">
        <v>424</v>
      </c>
    </row>
    <row r="37" spans="1:23">
      <c r="A37" s="38">
        <v>30</v>
      </c>
      <c r="B37" s="24" t="s">
        <v>1111</v>
      </c>
      <c r="C37" s="38"/>
      <c r="D37">
        <v>21</v>
      </c>
      <c r="E37" s="55" t="s">
        <v>17</v>
      </c>
      <c r="F37">
        <v>2017</v>
      </c>
      <c r="G37" s="12" t="s">
        <v>1112</v>
      </c>
      <c r="H37" s="12" t="s">
        <v>1113</v>
      </c>
      <c r="I37" s="12" t="s">
        <v>1143</v>
      </c>
      <c r="J37">
        <v>29</v>
      </c>
      <c r="K37" s="12" t="s">
        <v>1100</v>
      </c>
      <c r="L37">
        <v>2023</v>
      </c>
      <c r="M37" t="s">
        <v>1062</v>
      </c>
      <c r="N37" s="12" t="s">
        <v>1114</v>
      </c>
      <c r="O37" s="12" t="s">
        <v>1115</v>
      </c>
      <c r="P37" s="12" t="s">
        <v>52</v>
      </c>
      <c r="Q37" s="39">
        <v>18715</v>
      </c>
      <c r="R37" s="38" t="str">
        <f t="shared" si="0"/>
        <v>JUAN ISLAS RESENDIZ Y YADYRA DIAZ</v>
      </c>
      <c r="S37" s="38" t="str">
        <f t="shared" si="1"/>
        <v>21 MAYO DE 2017</v>
      </c>
      <c r="T37" s="38" t="str">
        <f t="shared" si="2"/>
        <v>29 JULIO  DE 2023</v>
      </c>
      <c r="U37">
        <v>2</v>
      </c>
      <c r="V37" s="39">
        <v>213</v>
      </c>
      <c r="W37" s="39">
        <v>425</v>
      </c>
    </row>
    <row r="38" spans="1:23">
      <c r="A38" s="38">
        <v>31</v>
      </c>
      <c r="B38" s="24" t="s">
        <v>1116</v>
      </c>
      <c r="D38">
        <v>23</v>
      </c>
      <c r="E38" s="55" t="s">
        <v>14</v>
      </c>
      <c r="F38">
        <v>2016</v>
      </c>
      <c r="G38" s="12" t="s">
        <v>47</v>
      </c>
      <c r="H38" s="12" t="s">
        <v>1117</v>
      </c>
      <c r="I38" s="12" t="s">
        <v>1118</v>
      </c>
      <c r="J38">
        <v>16</v>
      </c>
      <c r="K38" s="12" t="s">
        <v>1100</v>
      </c>
      <c r="L38">
        <v>2023</v>
      </c>
      <c r="M38" t="s">
        <v>1062</v>
      </c>
      <c r="N38" s="12" t="s">
        <v>1119</v>
      </c>
      <c r="O38" s="12" t="s">
        <v>1120</v>
      </c>
      <c r="P38" s="12" t="s">
        <v>52</v>
      </c>
      <c r="Q38">
        <v>983</v>
      </c>
      <c r="R38" s="38" t="str">
        <f t="shared" si="0"/>
        <v>JOSE RAMON HERMOSILLO ARVIZU Y ZULMA GUADALUPE RODRIGUEZ LOPEZ</v>
      </c>
      <c r="S38" s="38" t="str">
        <f t="shared" si="1"/>
        <v>23 FEBRERO DE 2016</v>
      </c>
      <c r="T38" s="38" t="str">
        <f t="shared" si="2"/>
        <v>16 JULIO  DE 2023</v>
      </c>
      <c r="U38">
        <v>2</v>
      </c>
      <c r="V38">
        <v>213</v>
      </c>
      <c r="W38">
        <v>426</v>
      </c>
    </row>
    <row r="39" spans="1:23">
      <c r="A39" s="38">
        <v>32</v>
      </c>
      <c r="B39" s="24" t="s">
        <v>1127</v>
      </c>
      <c r="D39">
        <v>26</v>
      </c>
      <c r="E39" s="55" t="s">
        <v>23</v>
      </c>
      <c r="F39">
        <v>2021</v>
      </c>
      <c r="G39" s="12" t="s">
        <v>47</v>
      </c>
      <c r="H39" s="12" t="s">
        <v>1128</v>
      </c>
      <c r="I39" s="12" t="s">
        <v>1129</v>
      </c>
      <c r="J39">
        <v>23</v>
      </c>
      <c r="K39" s="12" t="s">
        <v>1100</v>
      </c>
      <c r="L39">
        <v>2023</v>
      </c>
      <c r="M39" t="s">
        <v>1135</v>
      </c>
      <c r="N39" s="12" t="s">
        <v>1130</v>
      </c>
      <c r="O39" s="12" t="s">
        <v>1131</v>
      </c>
      <c r="P39" s="12" t="s">
        <v>52</v>
      </c>
      <c r="Q39">
        <v>1233</v>
      </c>
      <c r="R39" s="38" t="str">
        <f t="shared" si="0"/>
        <v>CARLOS ARTURO CASTILLO MOLINA Y CLAUDIA  ANGELICA ORANTES ROMO</v>
      </c>
      <c r="S39" s="38" t="str">
        <f t="shared" si="1"/>
        <v>26 DICIEMBRE DE 2021</v>
      </c>
      <c r="T39" s="38" t="str">
        <f t="shared" si="2"/>
        <v>23 JULIO  DE 2023</v>
      </c>
      <c r="U39">
        <v>2</v>
      </c>
      <c r="V39">
        <v>214</v>
      </c>
      <c r="W39">
        <v>427</v>
      </c>
    </row>
    <row r="40" spans="1:23">
      <c r="A40" s="38">
        <v>33</v>
      </c>
      <c r="B40" s="24" t="s">
        <v>1132</v>
      </c>
      <c r="D40">
        <v>26</v>
      </c>
      <c r="E40" s="55" t="s">
        <v>23</v>
      </c>
      <c r="F40">
        <v>2021</v>
      </c>
      <c r="G40" s="12" t="s">
        <v>47</v>
      </c>
      <c r="H40" s="12" t="s">
        <v>1128</v>
      </c>
      <c r="I40" s="12" t="s">
        <v>1129</v>
      </c>
      <c r="J40">
        <v>23</v>
      </c>
      <c r="K40" s="12" t="s">
        <v>1100</v>
      </c>
      <c r="L40">
        <v>2023</v>
      </c>
      <c r="M40" t="s">
        <v>1135</v>
      </c>
      <c r="N40" s="12" t="s">
        <v>1133</v>
      </c>
      <c r="O40" s="12" t="s">
        <v>1134</v>
      </c>
      <c r="P40" s="12" t="s">
        <v>52</v>
      </c>
      <c r="Q40" s="63">
        <v>1234</v>
      </c>
      <c r="R40" s="38" t="str">
        <f t="shared" ref="R40" si="3">H40&amp;" Y "&amp;I40</f>
        <v>CARLOS ARTURO CASTILLO MOLINA Y CLAUDIA  ANGELICA ORANTES ROMO</v>
      </c>
      <c r="S40" s="38" t="str">
        <f t="shared" ref="S40" si="4">D40&amp;" "&amp;E40&amp;" DE "&amp;F40</f>
        <v>26 DICIEMBRE DE 2021</v>
      </c>
      <c r="T40" s="38" t="str">
        <f t="shared" ref="T40" si="5">J40&amp;" "&amp;K40&amp;" DE "&amp;L40</f>
        <v>23 JULIO  DE 2023</v>
      </c>
      <c r="U40">
        <v>2</v>
      </c>
      <c r="V40">
        <v>214</v>
      </c>
      <c r="W40">
        <v>428</v>
      </c>
    </row>
    <row r="41" spans="1:23">
      <c r="A41" s="38">
        <v>34</v>
      </c>
      <c r="B41" s="24" t="s">
        <v>1137</v>
      </c>
      <c r="D41">
        <v>5</v>
      </c>
      <c r="E41" s="55" t="s">
        <v>22</v>
      </c>
      <c r="F41">
        <v>2022</v>
      </c>
      <c r="G41" s="12" t="s">
        <v>47</v>
      </c>
      <c r="H41" s="12" t="s">
        <v>1138</v>
      </c>
      <c r="I41" s="12" t="s">
        <v>1141</v>
      </c>
      <c r="J41">
        <v>29</v>
      </c>
      <c r="K41" s="12" t="s">
        <v>1100</v>
      </c>
      <c r="L41">
        <v>2023</v>
      </c>
      <c r="M41" t="s">
        <v>1062</v>
      </c>
      <c r="N41" s="12" t="s">
        <v>1139</v>
      </c>
      <c r="O41" s="12" t="s">
        <v>1140</v>
      </c>
      <c r="P41" s="12" t="s">
        <v>52</v>
      </c>
      <c r="Q41">
        <v>3051</v>
      </c>
      <c r="R41" s="38" t="str">
        <f t="shared" ref="R41:R101" si="6">H41&amp;" Y "&amp;I41</f>
        <v>OSCAR FRANCISCO SOTO GOMEZ Y FRANCISCA ZULYN CEBALLOS MONGE</v>
      </c>
      <c r="S41" s="38" t="str">
        <f t="shared" ref="S41:S101" si="7">D41&amp;" "&amp;E41&amp;" DE "&amp;F41</f>
        <v>5 NOVIEMBRE DE 2022</v>
      </c>
      <c r="T41" s="38" t="str">
        <f t="shared" ref="T41:T101" si="8">J41&amp;" "&amp;K41&amp;" DE "&amp;L41</f>
        <v>29 JULIO  DE 2023</v>
      </c>
      <c r="U41">
        <v>2</v>
      </c>
      <c r="V41">
        <v>215</v>
      </c>
      <c r="W41" s="39">
        <v>429</v>
      </c>
    </row>
    <row r="42" spans="1:23">
      <c r="A42" s="38">
        <v>35</v>
      </c>
      <c r="B42" s="24" t="s">
        <v>1150</v>
      </c>
      <c r="D42">
        <v>12</v>
      </c>
      <c r="E42" s="55" t="s">
        <v>1145</v>
      </c>
      <c r="F42">
        <v>2013</v>
      </c>
      <c r="G42" s="12" t="s">
        <v>47</v>
      </c>
      <c r="H42" s="12" t="s">
        <v>1151</v>
      </c>
      <c r="I42" s="12" t="s">
        <v>1154</v>
      </c>
      <c r="J42">
        <v>19</v>
      </c>
      <c r="K42" s="12" t="s">
        <v>20</v>
      </c>
      <c r="L42">
        <v>2023</v>
      </c>
      <c r="M42" t="s">
        <v>1062</v>
      </c>
      <c r="N42" s="12" t="s">
        <v>1152</v>
      </c>
      <c r="O42" s="12" t="s">
        <v>1153</v>
      </c>
      <c r="P42" s="12" t="s">
        <v>52</v>
      </c>
      <c r="Q42">
        <v>64</v>
      </c>
      <c r="R42" s="38" t="str">
        <f t="shared" si="6"/>
        <v>JULIAN GONZALEZ TALAMANTE Y DINA GESANA LIZARRAGA GASTELUM</v>
      </c>
      <c r="S42" s="38" t="str">
        <f t="shared" si="7"/>
        <v>12 SEPTIEMBRE DE 2013</v>
      </c>
      <c r="T42" s="38" t="str">
        <f t="shared" si="8"/>
        <v>19 AGOSTO DE 2023</v>
      </c>
      <c r="U42">
        <v>2</v>
      </c>
      <c r="V42">
        <v>215</v>
      </c>
      <c r="W42">
        <v>430</v>
      </c>
    </row>
    <row r="43" spans="1:23">
      <c r="A43" s="38">
        <v>36</v>
      </c>
      <c r="B43" s="24" t="s">
        <v>1155</v>
      </c>
      <c r="D43">
        <v>17</v>
      </c>
      <c r="E43" s="55" t="s">
        <v>17</v>
      </c>
      <c r="F43">
        <v>2023</v>
      </c>
      <c r="G43" s="12" t="s">
        <v>47</v>
      </c>
      <c r="H43" s="12" t="s">
        <v>1156</v>
      </c>
      <c r="I43" s="12" t="s">
        <v>1157</v>
      </c>
      <c r="J43">
        <v>26</v>
      </c>
      <c r="K43" s="12" t="s">
        <v>20</v>
      </c>
      <c r="L43">
        <v>2023</v>
      </c>
      <c r="M43" t="s">
        <v>1062</v>
      </c>
      <c r="N43" s="12" t="s">
        <v>1158</v>
      </c>
      <c r="O43" s="12" t="s">
        <v>1159</v>
      </c>
      <c r="P43" s="12" t="s">
        <v>52</v>
      </c>
      <c r="Q43">
        <v>1241</v>
      </c>
      <c r="R43" s="38" t="str">
        <f t="shared" si="6"/>
        <v>CARLOS ARTURO VALLEJO CASTILLO Y ROCIO CAROLINA HOYOS ZAMBRANO</v>
      </c>
      <c r="S43" s="38" t="str">
        <f t="shared" si="7"/>
        <v>17 MAYO DE 2023</v>
      </c>
      <c r="T43" s="38" t="str">
        <f t="shared" si="8"/>
        <v>26 AGOSTO DE 2023</v>
      </c>
      <c r="U43">
        <v>2</v>
      </c>
      <c r="V43">
        <v>216</v>
      </c>
      <c r="W43">
        <v>431</v>
      </c>
    </row>
    <row r="44" spans="1:23">
      <c r="A44" s="38">
        <v>37</v>
      </c>
      <c r="B44" s="24" t="s">
        <v>1160</v>
      </c>
      <c r="D44">
        <v>4</v>
      </c>
      <c r="E44" s="55" t="s">
        <v>15</v>
      </c>
      <c r="F44">
        <v>2016</v>
      </c>
      <c r="G44" s="12" t="s">
        <v>1161</v>
      </c>
      <c r="H44" s="12" t="s">
        <v>1162</v>
      </c>
      <c r="I44" s="12" t="s">
        <v>1163</v>
      </c>
      <c r="J44">
        <v>9</v>
      </c>
      <c r="K44" s="12" t="s">
        <v>1145</v>
      </c>
      <c r="L44">
        <v>2023</v>
      </c>
      <c r="M44" t="s">
        <v>1062</v>
      </c>
      <c r="N44" s="12" t="s">
        <v>1164</v>
      </c>
      <c r="O44" s="12" t="s">
        <v>1165</v>
      </c>
      <c r="P44" s="12" t="s">
        <v>52</v>
      </c>
      <c r="Q44">
        <v>39366</v>
      </c>
      <c r="R44" s="38" t="str">
        <f t="shared" si="6"/>
        <v>JESUS ALBERTO LOPEZ CARO Y FABIOLA BALLESTEROS MORALES</v>
      </c>
      <c r="S44" s="38" t="str">
        <f t="shared" si="7"/>
        <v>4 MARZO DE 2016</v>
      </c>
      <c r="T44" s="38" t="str">
        <f t="shared" si="8"/>
        <v>9 SEPTIEMBRE DE 2023</v>
      </c>
      <c r="U44">
        <v>2</v>
      </c>
      <c r="V44">
        <v>216</v>
      </c>
      <c r="W44">
        <v>432</v>
      </c>
    </row>
    <row r="45" spans="1:23">
      <c r="A45" s="38">
        <v>38</v>
      </c>
      <c r="B45" s="24" t="s">
        <v>1166</v>
      </c>
      <c r="D45">
        <v>10</v>
      </c>
      <c r="E45" s="81" t="s">
        <v>19</v>
      </c>
      <c r="F45">
        <v>2023</v>
      </c>
      <c r="G45" s="12" t="s">
        <v>47</v>
      </c>
      <c r="H45" s="12" t="s">
        <v>1167</v>
      </c>
      <c r="I45" s="12" t="s">
        <v>1168</v>
      </c>
      <c r="J45">
        <v>9</v>
      </c>
      <c r="K45" s="12" t="s">
        <v>1145</v>
      </c>
      <c r="L45">
        <v>2023</v>
      </c>
      <c r="M45" t="s">
        <v>1062</v>
      </c>
      <c r="N45" s="12" t="s">
        <v>1162</v>
      </c>
      <c r="O45" s="12" t="s">
        <v>1169</v>
      </c>
      <c r="P45" s="12" t="s">
        <v>52</v>
      </c>
      <c r="Q45">
        <v>1696</v>
      </c>
      <c r="R45" s="38" t="str">
        <f t="shared" si="6"/>
        <v>ERICK ADRIAN ORTIZ FIMBRES Y DIANA LIZET LOPEZ ESPINOZA</v>
      </c>
      <c r="S45" s="38" t="str">
        <f t="shared" si="7"/>
        <v>10 JULIO DE 2023</v>
      </c>
      <c r="T45" s="38" t="str">
        <f t="shared" si="8"/>
        <v>9 SEPTIEMBRE DE 2023</v>
      </c>
      <c r="U45">
        <v>2</v>
      </c>
      <c r="V45">
        <v>217</v>
      </c>
      <c r="W45" s="39">
        <v>433</v>
      </c>
    </row>
    <row r="46" spans="1:23">
      <c r="A46" s="38">
        <v>39</v>
      </c>
      <c r="B46" s="24" t="s">
        <v>1170</v>
      </c>
      <c r="D46">
        <v>7</v>
      </c>
      <c r="E46" s="55" t="s">
        <v>1145</v>
      </c>
      <c r="F46">
        <v>2022</v>
      </c>
      <c r="G46" s="12" t="s">
        <v>47</v>
      </c>
      <c r="H46" s="12" t="s">
        <v>1171</v>
      </c>
      <c r="I46" s="12" t="s">
        <v>1172</v>
      </c>
      <c r="J46">
        <v>10</v>
      </c>
      <c r="K46" s="12" t="s">
        <v>1145</v>
      </c>
      <c r="L46">
        <v>2023</v>
      </c>
      <c r="M46" t="s">
        <v>1062</v>
      </c>
      <c r="N46" s="12" t="s">
        <v>1173</v>
      </c>
      <c r="O46" s="12" t="s">
        <v>1174</v>
      </c>
      <c r="P46" s="12" t="s">
        <v>52</v>
      </c>
      <c r="Q46">
        <v>2878</v>
      </c>
      <c r="R46" s="38" t="str">
        <f t="shared" si="6"/>
        <v>FRANCISCO ALONSO ALDAY HERNANDEZ  Y GEOVVANA GUADALUPE MUNGUIA LEYVA</v>
      </c>
      <c r="S46" s="38" t="str">
        <f t="shared" si="7"/>
        <v>7 SEPTIEMBRE DE 2022</v>
      </c>
      <c r="T46" s="38" t="str">
        <f t="shared" si="8"/>
        <v>10 SEPTIEMBRE DE 2023</v>
      </c>
      <c r="U46">
        <v>2</v>
      </c>
      <c r="V46">
        <v>217</v>
      </c>
      <c r="W46">
        <v>434</v>
      </c>
    </row>
    <row r="47" spans="1:23">
      <c r="A47" s="38">
        <v>40</v>
      </c>
      <c r="B47" s="24" t="s">
        <v>1175</v>
      </c>
      <c r="D47">
        <v>19</v>
      </c>
      <c r="E47" s="55" t="s">
        <v>18</v>
      </c>
      <c r="F47">
        <v>2023</v>
      </c>
      <c r="G47" s="12" t="s">
        <v>47</v>
      </c>
      <c r="H47" s="12" t="s">
        <v>1176</v>
      </c>
      <c r="I47" s="12" t="s">
        <v>1177</v>
      </c>
      <c r="J47">
        <v>23</v>
      </c>
      <c r="K47" s="12" t="s">
        <v>1145</v>
      </c>
      <c r="L47">
        <v>2023</v>
      </c>
      <c r="M47" t="s">
        <v>1062</v>
      </c>
      <c r="N47" s="12" t="s">
        <v>594</v>
      </c>
      <c r="O47" s="12" t="s">
        <v>593</v>
      </c>
      <c r="P47" s="12" t="s">
        <v>52</v>
      </c>
      <c r="Q47">
        <v>1582</v>
      </c>
      <c r="R47" s="38" t="str">
        <f t="shared" si="6"/>
        <v>RODRIGO ANTONIO RODRIGUEZ JACQUES Y KASSANDRA GUADALUPE GOMEZ VILLA</v>
      </c>
      <c r="S47" s="38" t="str">
        <f t="shared" si="7"/>
        <v>19 JUNIO DE 2023</v>
      </c>
      <c r="T47" s="38" t="str">
        <f t="shared" si="8"/>
        <v>23 SEPTIEMBRE DE 2023</v>
      </c>
      <c r="U47">
        <v>2</v>
      </c>
      <c r="V47">
        <v>218</v>
      </c>
      <c r="W47">
        <v>435</v>
      </c>
    </row>
    <row r="48" spans="1:23">
      <c r="A48" s="38">
        <v>41</v>
      </c>
      <c r="B48" s="24" t="s">
        <v>1178</v>
      </c>
      <c r="D48">
        <v>15</v>
      </c>
      <c r="E48" s="55" t="s">
        <v>15</v>
      </c>
      <c r="F48">
        <v>2023</v>
      </c>
      <c r="G48" s="12" t="s">
        <v>1188</v>
      </c>
      <c r="H48" s="12" t="s">
        <v>1179</v>
      </c>
      <c r="I48" s="12" t="s">
        <v>1180</v>
      </c>
      <c r="J48">
        <v>7</v>
      </c>
      <c r="K48" s="12" t="s">
        <v>21</v>
      </c>
      <c r="L48">
        <v>2023</v>
      </c>
      <c r="M48" t="s">
        <v>1062</v>
      </c>
      <c r="N48" s="12" t="s">
        <v>1187</v>
      </c>
      <c r="O48" s="12" t="s">
        <v>1181</v>
      </c>
      <c r="P48" s="12" t="s">
        <v>52</v>
      </c>
      <c r="Q48">
        <v>60</v>
      </c>
      <c r="R48" s="38" t="str">
        <f t="shared" si="6"/>
        <v>JOSE GODINEZ BIRRUETA Y ALONDRA JASMIN CHAVEZ HERRERA</v>
      </c>
      <c r="S48" s="38" t="str">
        <f t="shared" si="7"/>
        <v>15 MARZO DE 2023</v>
      </c>
      <c r="T48" s="38" t="str">
        <f t="shared" si="8"/>
        <v>7 OCTUBRE DE 2023</v>
      </c>
      <c r="U48">
        <v>2</v>
      </c>
      <c r="V48">
        <v>218</v>
      </c>
      <c r="W48">
        <v>436</v>
      </c>
    </row>
    <row r="49" spans="1:23">
      <c r="A49" s="38">
        <v>42</v>
      </c>
      <c r="B49" s="24" t="s">
        <v>1182</v>
      </c>
      <c r="D49">
        <v>6</v>
      </c>
      <c r="E49" s="55" t="s">
        <v>21</v>
      </c>
      <c r="F49">
        <v>2022</v>
      </c>
      <c r="G49" s="12" t="s">
        <v>47</v>
      </c>
      <c r="H49" s="12" t="s">
        <v>1183</v>
      </c>
      <c r="I49" s="12" t="s">
        <v>1184</v>
      </c>
      <c r="J49">
        <v>7</v>
      </c>
      <c r="K49" s="12" t="s">
        <v>21</v>
      </c>
      <c r="L49">
        <v>2023</v>
      </c>
      <c r="M49" t="s">
        <v>1062</v>
      </c>
      <c r="N49" s="12" t="s">
        <v>1185</v>
      </c>
      <c r="O49" s="12" t="s">
        <v>1186</v>
      </c>
      <c r="P49" s="12" t="s">
        <v>52</v>
      </c>
      <c r="Q49">
        <v>3403</v>
      </c>
      <c r="R49" s="38" t="str">
        <f t="shared" si="6"/>
        <v>EDGAR JOSE FONTES CAMACHO Y GUADALUPE CONCEPCION ANDRADE ROMERO</v>
      </c>
      <c r="S49" s="38" t="str">
        <f t="shared" si="7"/>
        <v>6 OCTUBRE DE 2022</v>
      </c>
      <c r="T49" s="38" t="str">
        <f t="shared" si="8"/>
        <v>7 OCTUBRE DE 2023</v>
      </c>
      <c r="U49">
        <v>2</v>
      </c>
      <c r="V49">
        <v>219</v>
      </c>
      <c r="W49" s="39">
        <v>437</v>
      </c>
    </row>
    <row r="50" spans="1:23">
      <c r="A50" s="38">
        <v>43</v>
      </c>
      <c r="B50" s="24" t="s">
        <v>1189</v>
      </c>
      <c r="D50">
        <v>17</v>
      </c>
      <c r="E50" s="55" t="s">
        <v>17</v>
      </c>
      <c r="F50">
        <v>2023</v>
      </c>
      <c r="G50" s="12" t="s">
        <v>47</v>
      </c>
      <c r="H50" s="12" t="s">
        <v>1190</v>
      </c>
      <c r="I50" s="12" t="s">
        <v>1193</v>
      </c>
      <c r="J50">
        <v>21</v>
      </c>
      <c r="K50" s="12" t="s">
        <v>21</v>
      </c>
      <c r="L50">
        <v>2023</v>
      </c>
      <c r="M50" t="s">
        <v>1062</v>
      </c>
      <c r="N50" s="12" t="s">
        <v>1191</v>
      </c>
      <c r="O50" s="12" t="s">
        <v>1192</v>
      </c>
      <c r="P50" s="12" t="s">
        <v>52</v>
      </c>
      <c r="Q50">
        <v>1442</v>
      </c>
      <c r="R50" s="38" t="str">
        <f t="shared" si="6"/>
        <v>JORGE ANTONIO CHAVEZ LOPEZ Y BRIANDA SALAS NAVARRO</v>
      </c>
      <c r="S50" s="38" t="str">
        <f t="shared" si="7"/>
        <v>17 MAYO DE 2023</v>
      </c>
      <c r="T50" s="38" t="str">
        <f t="shared" si="8"/>
        <v>21 OCTUBRE DE 2023</v>
      </c>
      <c r="U50">
        <v>2</v>
      </c>
      <c r="V50">
        <v>219</v>
      </c>
      <c r="W50">
        <v>438</v>
      </c>
    </row>
    <row r="51" spans="1:23">
      <c r="A51" s="38">
        <v>44</v>
      </c>
      <c r="B51" s="24" t="s">
        <v>1205</v>
      </c>
      <c r="D51">
        <v>1</v>
      </c>
      <c r="E51" s="55" t="s">
        <v>18</v>
      </c>
      <c r="F51">
        <v>2023</v>
      </c>
      <c r="G51" s="12" t="s">
        <v>47</v>
      </c>
      <c r="H51" s="12" t="s">
        <v>1206</v>
      </c>
      <c r="I51" s="12" t="s">
        <v>1207</v>
      </c>
      <c r="J51">
        <v>4</v>
      </c>
      <c r="K51" s="12" t="s">
        <v>22</v>
      </c>
      <c r="L51">
        <v>2023</v>
      </c>
      <c r="M51" t="s">
        <v>1062</v>
      </c>
      <c r="N51" s="12" t="s">
        <v>1208</v>
      </c>
      <c r="O51" s="12" t="s">
        <v>1209</v>
      </c>
      <c r="P51" s="12" t="s">
        <v>52</v>
      </c>
      <c r="Q51">
        <v>1223</v>
      </c>
      <c r="R51" s="38" t="str">
        <f t="shared" si="6"/>
        <v>ARNOLDO ESQUER ZUÑIGA  Y KARLA CECILIA FIMBRES NUÑEZ</v>
      </c>
      <c r="S51" s="38" t="str">
        <f t="shared" si="7"/>
        <v>1 JUNIO DE 2023</v>
      </c>
      <c r="T51" s="38" t="str">
        <f t="shared" si="8"/>
        <v>4 NOVIEMBRE DE 2023</v>
      </c>
      <c r="U51">
        <v>2</v>
      </c>
      <c r="V51">
        <v>220</v>
      </c>
      <c r="W51">
        <v>439</v>
      </c>
    </row>
    <row r="52" spans="1:23">
      <c r="A52" s="38">
        <v>45</v>
      </c>
      <c r="B52" s="24" t="s">
        <v>1210</v>
      </c>
      <c r="D52">
        <v>1</v>
      </c>
      <c r="E52" s="55" t="s">
        <v>1145</v>
      </c>
      <c r="F52">
        <v>2020</v>
      </c>
      <c r="G52" s="12" t="s">
        <v>47</v>
      </c>
      <c r="H52" s="12" t="s">
        <v>1213</v>
      </c>
      <c r="I52" s="12" t="s">
        <v>1305</v>
      </c>
      <c r="J52">
        <v>18</v>
      </c>
      <c r="K52" s="12" t="s">
        <v>22</v>
      </c>
      <c r="L52">
        <v>2023</v>
      </c>
      <c r="M52" t="s">
        <v>1062</v>
      </c>
      <c r="N52" s="12" t="s">
        <v>1211</v>
      </c>
      <c r="O52" s="12" t="s">
        <v>1212</v>
      </c>
      <c r="P52" s="12" t="s">
        <v>52</v>
      </c>
      <c r="Q52">
        <v>1635</v>
      </c>
      <c r="R52" s="38" t="str">
        <f t="shared" si="6"/>
        <v>SHANYA BENEY VERA  MONTIJO Y       ==========================</v>
      </c>
      <c r="S52" s="38" t="str">
        <f t="shared" si="7"/>
        <v>1 SEPTIEMBRE DE 2020</v>
      </c>
      <c r="T52" s="38" t="str">
        <f t="shared" si="8"/>
        <v>18 NOVIEMBRE DE 2023</v>
      </c>
      <c r="U52">
        <v>2</v>
      </c>
      <c r="V52">
        <v>220</v>
      </c>
      <c r="W52">
        <v>440</v>
      </c>
    </row>
    <row r="53" spans="1:23">
      <c r="A53" s="38">
        <v>46</v>
      </c>
      <c r="B53" s="24" t="s">
        <v>1221</v>
      </c>
      <c r="D53">
        <v>6</v>
      </c>
      <c r="E53" s="55" t="s">
        <v>14</v>
      </c>
      <c r="F53">
        <v>2022</v>
      </c>
      <c r="G53" s="12" t="s">
        <v>47</v>
      </c>
      <c r="H53" s="12" t="s">
        <v>1222</v>
      </c>
      <c r="I53" s="12" t="s">
        <v>1223</v>
      </c>
      <c r="J53">
        <v>25</v>
      </c>
      <c r="K53" s="12" t="s">
        <v>22</v>
      </c>
      <c r="L53">
        <v>2023</v>
      </c>
      <c r="M53" t="s">
        <v>1062</v>
      </c>
      <c r="N53" s="12" t="s">
        <v>1224</v>
      </c>
      <c r="O53" s="12" t="s">
        <v>1225</v>
      </c>
      <c r="P53" s="12" t="s">
        <v>52</v>
      </c>
      <c r="Q53">
        <v>388</v>
      </c>
      <c r="R53" s="38" t="str">
        <f t="shared" si="6"/>
        <v>CARLOS JAVIER VENTURA ONTIVEROS Y CINTIA YADIRA DUARTE SALAZAR</v>
      </c>
      <c r="S53" s="38" t="str">
        <f t="shared" si="7"/>
        <v>6 FEBRERO DE 2022</v>
      </c>
      <c r="T53" s="38" t="str">
        <f t="shared" si="8"/>
        <v>25 NOVIEMBRE DE 2023</v>
      </c>
      <c r="U53">
        <v>2</v>
      </c>
      <c r="V53">
        <v>221</v>
      </c>
      <c r="W53" s="39">
        <v>441</v>
      </c>
    </row>
    <row r="54" spans="1:23">
      <c r="A54" s="38">
        <v>47</v>
      </c>
      <c r="B54" s="24" t="s">
        <v>1226</v>
      </c>
      <c r="D54">
        <v>7</v>
      </c>
      <c r="E54" s="55" t="s">
        <v>23</v>
      </c>
      <c r="F54">
        <v>2022</v>
      </c>
      <c r="G54" s="12" t="s">
        <v>47</v>
      </c>
      <c r="H54" s="12" t="s">
        <v>1227</v>
      </c>
      <c r="I54" s="12" t="s">
        <v>1235</v>
      </c>
      <c r="J54">
        <v>9</v>
      </c>
      <c r="K54" s="12" t="s">
        <v>23</v>
      </c>
      <c r="L54">
        <v>2023</v>
      </c>
      <c r="M54" t="s">
        <v>1062</v>
      </c>
      <c r="N54" s="12" t="s">
        <v>1228</v>
      </c>
      <c r="O54" s="12" t="s">
        <v>1229</v>
      </c>
      <c r="P54" s="12" t="s">
        <v>52</v>
      </c>
      <c r="Q54">
        <v>34</v>
      </c>
      <c r="R54" s="38" t="str">
        <f t="shared" si="6"/>
        <v>BERNARDO DAGOBERTO MONTENEGRO JAIME Y JENNIFER GPE. ACUÑA SIERRAS</v>
      </c>
      <c r="S54" s="38" t="str">
        <f t="shared" si="7"/>
        <v>7 DICIEMBRE DE 2022</v>
      </c>
      <c r="T54" s="38" t="str">
        <f t="shared" si="8"/>
        <v>9 DICIEMBRE DE 2023</v>
      </c>
      <c r="U54">
        <v>2</v>
      </c>
      <c r="V54">
        <v>221</v>
      </c>
      <c r="W54">
        <v>442</v>
      </c>
    </row>
    <row r="55" spans="1:23">
      <c r="A55" s="38">
        <v>48</v>
      </c>
      <c r="B55" s="24" t="s">
        <v>1230</v>
      </c>
      <c r="D55">
        <v>19</v>
      </c>
      <c r="E55" s="55" t="s">
        <v>22</v>
      </c>
      <c r="F55">
        <v>2022</v>
      </c>
      <c r="G55" s="12" t="s">
        <v>47</v>
      </c>
      <c r="H55" s="12" t="s">
        <v>1231</v>
      </c>
      <c r="I55" s="12" t="s">
        <v>1232</v>
      </c>
      <c r="J55">
        <v>9</v>
      </c>
      <c r="K55" s="12" t="s">
        <v>23</v>
      </c>
      <c r="L55">
        <v>2023</v>
      </c>
      <c r="M55" t="s">
        <v>1062</v>
      </c>
      <c r="N55" s="78" t="s">
        <v>1233</v>
      </c>
      <c r="O55" s="12" t="s">
        <v>1234</v>
      </c>
      <c r="P55" s="12" t="s">
        <v>52</v>
      </c>
      <c r="Q55">
        <v>2349</v>
      </c>
      <c r="R55" s="38" t="str">
        <f t="shared" si="6"/>
        <v>CESAR ALEJANDRO SOTO LOPEZ Y GABRIELA RIVERA ORNELAS</v>
      </c>
      <c r="S55" s="38" t="str">
        <f t="shared" si="7"/>
        <v>19 NOVIEMBRE DE 2022</v>
      </c>
      <c r="T55" s="38" t="str">
        <f t="shared" si="8"/>
        <v>9 DICIEMBRE DE 2023</v>
      </c>
      <c r="U55">
        <v>2</v>
      </c>
      <c r="V55">
        <v>222</v>
      </c>
      <c r="W55">
        <v>443</v>
      </c>
    </row>
    <row r="56" spans="1:23">
      <c r="A56" s="38">
        <v>49</v>
      </c>
      <c r="B56" s="24" t="s">
        <v>1236</v>
      </c>
      <c r="D56">
        <v>10</v>
      </c>
      <c r="E56" s="55" t="s">
        <v>18</v>
      </c>
      <c r="F56">
        <v>2023</v>
      </c>
      <c r="G56" s="12" t="s">
        <v>47</v>
      </c>
      <c r="H56" s="12" t="s">
        <v>1237</v>
      </c>
      <c r="I56" s="12" t="s">
        <v>1240</v>
      </c>
      <c r="J56">
        <v>16</v>
      </c>
      <c r="K56" s="12" t="s">
        <v>23</v>
      </c>
      <c r="L56">
        <v>2023</v>
      </c>
      <c r="M56" t="s">
        <v>1062</v>
      </c>
      <c r="N56" s="12" t="s">
        <v>1238</v>
      </c>
      <c r="O56" s="12" t="s">
        <v>1239</v>
      </c>
      <c r="P56" s="12" t="s">
        <v>52</v>
      </c>
      <c r="Q56">
        <v>1410</v>
      </c>
      <c r="R56" s="38" t="str">
        <f t="shared" si="6"/>
        <v>MARIANA ALEJANDRA SOTO ELIAS Y          ===============</v>
      </c>
      <c r="S56" s="38" t="str">
        <f t="shared" si="7"/>
        <v>10 JUNIO DE 2023</v>
      </c>
      <c r="T56" s="38" t="str">
        <f t="shared" si="8"/>
        <v>16 DICIEMBRE DE 2023</v>
      </c>
      <c r="U56">
        <v>2</v>
      </c>
      <c r="V56">
        <v>222</v>
      </c>
      <c r="W56">
        <v>444</v>
      </c>
    </row>
    <row r="57" spans="1:23">
      <c r="A57" s="38">
        <v>50</v>
      </c>
      <c r="B57" s="24" t="s">
        <v>1241</v>
      </c>
      <c r="D57">
        <v>18</v>
      </c>
      <c r="E57" s="55" t="s">
        <v>23</v>
      </c>
      <c r="F57">
        <v>2022</v>
      </c>
      <c r="G57" s="12" t="s">
        <v>47</v>
      </c>
      <c r="H57" s="12" t="s">
        <v>1242</v>
      </c>
      <c r="I57" s="12" t="s">
        <v>1243</v>
      </c>
      <c r="J57">
        <v>17</v>
      </c>
      <c r="K57" s="12" t="s">
        <v>23</v>
      </c>
      <c r="L57">
        <v>2023</v>
      </c>
      <c r="M57" t="s">
        <v>1062</v>
      </c>
      <c r="N57" s="12" t="s">
        <v>1244</v>
      </c>
      <c r="O57" s="12" t="s">
        <v>1245</v>
      </c>
      <c r="P57" s="12" t="s">
        <v>52</v>
      </c>
      <c r="Q57">
        <v>329</v>
      </c>
      <c r="R57" s="38" t="str">
        <f t="shared" si="6"/>
        <v>DAVID IGNACIO VALENZUELA DOMINGUEZ Y GABRIELA BELEM SALCIDO RUIZ</v>
      </c>
      <c r="S57" s="38" t="str">
        <f t="shared" si="7"/>
        <v>18 DICIEMBRE DE 2022</v>
      </c>
      <c r="T57" s="38" t="str">
        <f t="shared" si="8"/>
        <v>17 DICIEMBRE DE 2023</v>
      </c>
      <c r="U57">
        <v>2</v>
      </c>
      <c r="V57">
        <v>223</v>
      </c>
      <c r="W57" s="39">
        <v>445</v>
      </c>
    </row>
    <row r="58" spans="1:23" ht="20.25">
      <c r="B58" s="21" t="s">
        <v>1940</v>
      </c>
      <c r="C58" s="21"/>
    </row>
    <row r="59" spans="1:23">
      <c r="A59" s="38">
        <v>51</v>
      </c>
      <c r="B59" s="24" t="s">
        <v>1257</v>
      </c>
      <c r="D59">
        <v>7</v>
      </c>
      <c r="E59" s="39" t="s">
        <v>14</v>
      </c>
      <c r="F59">
        <v>2023</v>
      </c>
      <c r="G59" s="12" t="s">
        <v>47</v>
      </c>
      <c r="H59" s="12" t="s">
        <v>1258</v>
      </c>
      <c r="I59" s="12" t="s">
        <v>1259</v>
      </c>
      <c r="J59">
        <v>4</v>
      </c>
      <c r="K59" s="12" t="s">
        <v>14</v>
      </c>
      <c r="L59">
        <v>2024</v>
      </c>
      <c r="M59" t="s">
        <v>1062</v>
      </c>
      <c r="N59" s="12" t="s">
        <v>1260</v>
      </c>
      <c r="O59" s="12" t="s">
        <v>1261</v>
      </c>
      <c r="P59" s="12" t="s">
        <v>52</v>
      </c>
      <c r="Q59">
        <v>549</v>
      </c>
      <c r="R59" s="38" t="str">
        <f t="shared" si="6"/>
        <v>JOSE ANGEL PARTIDA RANGEL Y ANDREA STEPHNEE CUELLAR SALAS</v>
      </c>
      <c r="S59" s="38" t="str">
        <f t="shared" si="7"/>
        <v>7 FEBRERO DE 2023</v>
      </c>
      <c r="T59" s="38" t="str">
        <f t="shared" si="8"/>
        <v>4 FEBRERO DE 2024</v>
      </c>
      <c r="U59">
        <v>2</v>
      </c>
      <c r="V59">
        <v>223</v>
      </c>
      <c r="W59">
        <v>446</v>
      </c>
    </row>
    <row r="60" spans="1:23">
      <c r="A60" s="38">
        <v>52</v>
      </c>
      <c r="B60" s="24" t="s">
        <v>1262</v>
      </c>
      <c r="D60">
        <v>11</v>
      </c>
      <c r="E60" s="39" t="s">
        <v>14</v>
      </c>
      <c r="F60">
        <v>2023</v>
      </c>
      <c r="G60" s="12" t="s">
        <v>47</v>
      </c>
      <c r="H60" s="12" t="s">
        <v>1263</v>
      </c>
      <c r="I60" s="12" t="s">
        <v>1266</v>
      </c>
      <c r="J60">
        <v>11</v>
      </c>
      <c r="K60" s="12" t="s">
        <v>14</v>
      </c>
      <c r="L60">
        <v>2024</v>
      </c>
      <c r="M60" t="s">
        <v>1062</v>
      </c>
      <c r="N60" s="12" t="s">
        <v>1264</v>
      </c>
      <c r="O60" s="12" t="s">
        <v>1265</v>
      </c>
      <c r="P60" s="12" t="s">
        <v>52</v>
      </c>
      <c r="Q60">
        <v>660</v>
      </c>
      <c r="R60" s="38" t="str">
        <f t="shared" si="6"/>
        <v>DANIEL SANCHEZ DORAME Y ANA  CRISTINA GOMEZ LIMA</v>
      </c>
      <c r="S60" s="38" t="str">
        <f t="shared" si="7"/>
        <v>11 FEBRERO DE 2023</v>
      </c>
      <c r="T60" s="38" t="str">
        <f t="shared" si="8"/>
        <v>11 FEBRERO DE 2024</v>
      </c>
      <c r="U60">
        <v>2</v>
      </c>
      <c r="V60">
        <v>224</v>
      </c>
      <c r="W60">
        <v>447</v>
      </c>
    </row>
    <row r="61" spans="1:23">
      <c r="A61" s="38">
        <v>53</v>
      </c>
      <c r="B61" s="24" t="s">
        <v>1267</v>
      </c>
      <c r="D61">
        <v>20</v>
      </c>
      <c r="E61" s="39" t="s">
        <v>1145</v>
      </c>
      <c r="F61">
        <v>2023</v>
      </c>
      <c r="G61" s="12" t="s">
        <v>47</v>
      </c>
      <c r="H61" s="12" t="s">
        <v>1268</v>
      </c>
      <c r="I61" s="12" t="s">
        <v>1269</v>
      </c>
      <c r="J61">
        <v>17</v>
      </c>
      <c r="K61" s="12" t="s">
        <v>14</v>
      </c>
      <c r="L61">
        <v>2024</v>
      </c>
      <c r="M61" t="s">
        <v>1062</v>
      </c>
      <c r="N61" s="12" t="s">
        <v>1270</v>
      </c>
      <c r="O61" s="12" t="s">
        <v>1271</v>
      </c>
      <c r="P61" s="12" t="s">
        <v>52</v>
      </c>
      <c r="Q61">
        <v>2312</v>
      </c>
      <c r="R61" s="38" t="str">
        <f t="shared" si="6"/>
        <v>IVAN BRINGAS SILVESTRE Y GUADALUPE EDUWVIGES CHAVEZ MIRANDA</v>
      </c>
      <c r="S61" s="38" t="str">
        <f t="shared" si="7"/>
        <v>20 SEPTIEMBRE DE 2023</v>
      </c>
      <c r="T61" s="38" t="str">
        <f t="shared" si="8"/>
        <v>17 FEBRERO DE 2024</v>
      </c>
      <c r="U61">
        <v>2</v>
      </c>
      <c r="V61">
        <v>224</v>
      </c>
      <c r="W61">
        <v>448</v>
      </c>
    </row>
    <row r="62" spans="1:23">
      <c r="A62" s="38">
        <v>54</v>
      </c>
      <c r="B62" s="24" t="s">
        <v>1272</v>
      </c>
      <c r="D62">
        <v>24</v>
      </c>
      <c r="E62" s="39" t="s">
        <v>19</v>
      </c>
      <c r="F62">
        <v>2023</v>
      </c>
      <c r="G62" s="12" t="s">
        <v>47</v>
      </c>
      <c r="H62" s="12" t="s">
        <v>1273</v>
      </c>
      <c r="I62" s="12" t="s">
        <v>1274</v>
      </c>
      <c r="J62">
        <v>2</v>
      </c>
      <c r="K62" s="12" t="s">
        <v>15</v>
      </c>
      <c r="L62">
        <v>2024</v>
      </c>
      <c r="M62" t="s">
        <v>1062</v>
      </c>
      <c r="N62" s="12" t="s">
        <v>1275</v>
      </c>
      <c r="O62" s="12" t="s">
        <v>1276</v>
      </c>
      <c r="P62" s="12" t="s">
        <v>52</v>
      </c>
      <c r="Q62">
        <v>1715</v>
      </c>
      <c r="R62" s="38" t="str">
        <f t="shared" si="6"/>
        <v>MARION ALBERTO MARQUEZ SUAREZ Y MARIA FERNANDA ESCOBAR MONGE</v>
      </c>
      <c r="S62" s="38" t="str">
        <f t="shared" si="7"/>
        <v>24 JULIO DE 2023</v>
      </c>
      <c r="T62" s="38" t="str">
        <f t="shared" si="8"/>
        <v>2 MARZO DE 2024</v>
      </c>
      <c r="U62">
        <v>2</v>
      </c>
      <c r="V62">
        <v>225</v>
      </c>
      <c r="W62">
        <v>449</v>
      </c>
    </row>
    <row r="63" spans="1:23">
      <c r="A63" s="38">
        <v>55</v>
      </c>
      <c r="B63" s="24" t="s">
        <v>1282</v>
      </c>
      <c r="D63">
        <v>30</v>
      </c>
      <c r="E63" s="39" t="s">
        <v>13</v>
      </c>
      <c r="F63">
        <v>2021</v>
      </c>
      <c r="G63" s="12" t="s">
        <v>47</v>
      </c>
      <c r="H63" s="12" t="s">
        <v>1283</v>
      </c>
      <c r="I63" s="12" t="s">
        <v>1284</v>
      </c>
      <c r="J63">
        <v>16</v>
      </c>
      <c r="K63" s="12" t="s">
        <v>15</v>
      </c>
      <c r="L63">
        <v>2024</v>
      </c>
      <c r="M63" t="s">
        <v>1062</v>
      </c>
      <c r="N63" s="12" t="s">
        <v>1285</v>
      </c>
      <c r="O63" s="12" t="s">
        <v>1286</v>
      </c>
      <c r="P63" s="12" t="s">
        <v>52</v>
      </c>
      <c r="Q63">
        <v>1493</v>
      </c>
      <c r="R63" s="38" t="str">
        <f>H63&amp;" Y "&amp;I63</f>
        <v>BENJAMIN SANTACRUZ HERRERA Y TANIA GUADALUPE HERNANDEZ MALAVIAR</v>
      </c>
      <c r="S63" s="38" t="str">
        <f>D63&amp;" "&amp;E63&amp;" DE "&amp;F63</f>
        <v>30 ENERO DE 2021</v>
      </c>
      <c r="T63" s="38" t="str">
        <f>J63&amp;" "&amp;K63&amp;" DE "&amp;L63</f>
        <v>16 MARZO DE 2024</v>
      </c>
      <c r="U63">
        <v>2</v>
      </c>
      <c r="V63">
        <v>225</v>
      </c>
      <c r="W63">
        <v>450</v>
      </c>
    </row>
    <row r="64" spans="1:23">
      <c r="A64" s="38">
        <v>56</v>
      </c>
      <c r="B64" s="24" t="s">
        <v>1287</v>
      </c>
      <c r="D64">
        <v>12</v>
      </c>
      <c r="E64" s="39" t="s">
        <v>15</v>
      </c>
      <c r="F64">
        <v>2023</v>
      </c>
      <c r="G64" s="12" t="s">
        <v>47</v>
      </c>
      <c r="H64" s="12" t="s">
        <v>1288</v>
      </c>
      <c r="I64" s="12" t="s">
        <v>1289</v>
      </c>
      <c r="J64">
        <v>16</v>
      </c>
      <c r="K64" s="12" t="s">
        <v>15</v>
      </c>
      <c r="L64">
        <v>2024</v>
      </c>
      <c r="M64" t="s">
        <v>1062</v>
      </c>
      <c r="N64" s="12" t="s">
        <v>1290</v>
      </c>
      <c r="O64" s="12"/>
      <c r="P64" s="12" t="s">
        <v>52</v>
      </c>
      <c r="Q64">
        <v>767</v>
      </c>
      <c r="R64" s="38" t="str">
        <f>H64&amp;" Y "&amp;I64</f>
        <v>RODOLFO MONREAL CIRLOS Y SILVIA GUADALUPE SOLORZANO MONGE</v>
      </c>
      <c r="S64" s="38" t="str">
        <f>D64&amp;" "&amp;E64&amp;" DE "&amp;F64</f>
        <v>12 MARZO DE 2023</v>
      </c>
      <c r="T64" s="38" t="str">
        <f>J64&amp;" "&amp;K64&amp;" DE "&amp;L64</f>
        <v>16 MARZO DE 2024</v>
      </c>
      <c r="U64">
        <v>2</v>
      </c>
      <c r="V64">
        <v>226</v>
      </c>
      <c r="W64">
        <v>451</v>
      </c>
    </row>
    <row r="65" spans="1:24">
      <c r="A65" s="38">
        <v>57</v>
      </c>
      <c r="B65" s="24" t="s">
        <v>1277</v>
      </c>
      <c r="D65">
        <v>14</v>
      </c>
      <c r="E65" s="39" t="s">
        <v>16</v>
      </c>
      <c r="F65">
        <v>2023</v>
      </c>
      <c r="G65" s="12" t="s">
        <v>47</v>
      </c>
      <c r="H65" s="12" t="s">
        <v>1278</v>
      </c>
      <c r="I65" s="12" t="s">
        <v>1279</v>
      </c>
      <c r="J65">
        <v>13</v>
      </c>
      <c r="K65" s="12" t="s">
        <v>16</v>
      </c>
      <c r="L65">
        <v>2024</v>
      </c>
      <c r="M65" t="s">
        <v>1062</v>
      </c>
      <c r="N65" s="12" t="s">
        <v>1280</v>
      </c>
      <c r="O65" s="12" t="s">
        <v>1281</v>
      </c>
      <c r="P65" s="12" t="s">
        <v>52</v>
      </c>
      <c r="Q65">
        <v>1183</v>
      </c>
      <c r="R65" s="38" t="str">
        <f t="shared" si="6"/>
        <v>DORIAN VILLANUEVA MONROY Y ALEJANDRA RAMOS PLASCENCIA</v>
      </c>
      <c r="S65" s="38" t="str">
        <f t="shared" si="7"/>
        <v>14 ABRIL DE 2023</v>
      </c>
      <c r="T65" s="38" t="str">
        <f t="shared" si="8"/>
        <v>13 ABRIL DE 2024</v>
      </c>
      <c r="U65">
        <v>2</v>
      </c>
      <c r="V65">
        <v>226</v>
      </c>
      <c r="W65">
        <v>452</v>
      </c>
    </row>
    <row r="66" spans="1:24">
      <c r="A66" s="38">
        <v>58</v>
      </c>
      <c r="B66" s="24" t="s">
        <v>1291</v>
      </c>
      <c r="D66">
        <v>23</v>
      </c>
      <c r="E66" s="39" t="s">
        <v>17</v>
      </c>
      <c r="F66">
        <v>2023</v>
      </c>
      <c r="G66" s="12" t="s">
        <v>47</v>
      </c>
      <c r="H66" s="12" t="s">
        <v>1292</v>
      </c>
      <c r="I66" s="12" t="s">
        <v>1293</v>
      </c>
      <c r="J66">
        <v>24</v>
      </c>
      <c r="K66" s="12" t="s">
        <v>15</v>
      </c>
      <c r="L66">
        <v>2024</v>
      </c>
      <c r="M66" t="s">
        <v>1062</v>
      </c>
      <c r="N66" s="12" t="s">
        <v>1295</v>
      </c>
      <c r="O66" s="12" t="s">
        <v>1294</v>
      </c>
      <c r="P66" s="12" t="s">
        <v>52</v>
      </c>
      <c r="Q66">
        <v>1197</v>
      </c>
      <c r="R66" s="38" t="str">
        <f t="shared" si="6"/>
        <v xml:space="preserve">EDUARDO ANTONIO CORDOVA GOMEZ Y LLUVIA ARIANA ZOEY ZEPEDA SALINAS </v>
      </c>
      <c r="S66" s="38" t="str">
        <f t="shared" si="7"/>
        <v>23 MAYO DE 2023</v>
      </c>
      <c r="T66" s="38" t="str">
        <f t="shared" si="8"/>
        <v>24 MARZO DE 2024</v>
      </c>
      <c r="U66">
        <v>2</v>
      </c>
      <c r="V66">
        <v>227</v>
      </c>
      <c r="W66">
        <v>453</v>
      </c>
    </row>
    <row r="67" spans="1:24">
      <c r="A67" s="38">
        <v>59</v>
      </c>
      <c r="B67" s="24" t="s">
        <v>1303</v>
      </c>
      <c r="D67">
        <v>25</v>
      </c>
      <c r="E67" s="39" t="s">
        <v>13</v>
      </c>
      <c r="F67">
        <v>2023</v>
      </c>
      <c r="G67" s="12" t="s">
        <v>47</v>
      </c>
      <c r="H67" s="12" t="s">
        <v>1304</v>
      </c>
      <c r="I67" s="12" t="s">
        <v>1306</v>
      </c>
      <c r="J67">
        <v>20</v>
      </c>
      <c r="K67" s="12" t="s">
        <v>16</v>
      </c>
      <c r="L67">
        <v>2024</v>
      </c>
      <c r="M67" t="s">
        <v>1062</v>
      </c>
      <c r="N67" s="12" t="s">
        <v>1307</v>
      </c>
      <c r="O67" s="12" t="s">
        <v>1308</v>
      </c>
      <c r="P67" s="12" t="s">
        <v>52</v>
      </c>
      <c r="Q67">
        <v>415</v>
      </c>
      <c r="R67" s="38" t="str">
        <f t="shared" si="6"/>
        <v>RUBEN OMAR MARIN SAINZ  Y DIANERI LUCERO BARRERAS RIVERA</v>
      </c>
      <c r="S67" s="38" t="str">
        <f t="shared" si="7"/>
        <v>25 ENERO DE 2023</v>
      </c>
      <c r="T67" s="38" t="str">
        <f t="shared" si="8"/>
        <v>20 ABRIL DE 2024</v>
      </c>
      <c r="U67">
        <v>2</v>
      </c>
      <c r="V67">
        <v>227</v>
      </c>
      <c r="W67">
        <v>454</v>
      </c>
    </row>
    <row r="68" spans="1:24">
      <c r="A68" s="38">
        <v>60</v>
      </c>
      <c r="B68" s="24" t="s">
        <v>1476</v>
      </c>
      <c r="D68">
        <v>20</v>
      </c>
      <c r="E68" s="39" t="s">
        <v>23</v>
      </c>
      <c r="F68">
        <v>2023</v>
      </c>
      <c r="G68" s="12" t="s">
        <v>1477</v>
      </c>
      <c r="H68" s="12" t="s">
        <v>84</v>
      </c>
      <c r="I68" s="12" t="s">
        <v>85</v>
      </c>
      <c r="J68">
        <v>11</v>
      </c>
      <c r="K68" s="12" t="s">
        <v>17</v>
      </c>
      <c r="L68">
        <v>2024</v>
      </c>
      <c r="M68" t="s">
        <v>1062</v>
      </c>
      <c r="N68" s="12" t="s">
        <v>1478</v>
      </c>
      <c r="O68" s="12" t="s">
        <v>1479</v>
      </c>
      <c r="P68" s="12" t="s">
        <v>52</v>
      </c>
      <c r="Q68">
        <v>37</v>
      </c>
      <c r="R68" s="38" t="str">
        <f t="shared" si="6"/>
        <v>ALAN FRANCISCO GUTIERREZ CAMPOY Y ESTHELA MARIA AVILA ANGUIS</v>
      </c>
      <c r="S68" s="38" t="str">
        <f t="shared" si="7"/>
        <v>20 DICIEMBRE DE 2023</v>
      </c>
      <c r="T68" s="38" t="str">
        <f t="shared" si="8"/>
        <v>11 MAYO DE 2024</v>
      </c>
      <c r="U68">
        <v>2</v>
      </c>
      <c r="V68">
        <v>228</v>
      </c>
      <c r="W68">
        <v>455</v>
      </c>
    </row>
    <row r="69" spans="1:24">
      <c r="A69" s="79">
        <v>61</v>
      </c>
      <c r="B69" s="24" t="s">
        <v>2273</v>
      </c>
      <c r="D69">
        <v>27</v>
      </c>
      <c r="E69" s="55" t="s">
        <v>18</v>
      </c>
      <c r="F69">
        <v>2022</v>
      </c>
      <c r="G69" s="12" t="s">
        <v>47</v>
      </c>
      <c r="H69" s="12" t="s">
        <v>2269</v>
      </c>
      <c r="I69" s="12" t="s">
        <v>2270</v>
      </c>
      <c r="J69">
        <v>30</v>
      </c>
      <c r="K69" s="12" t="s">
        <v>18</v>
      </c>
      <c r="L69">
        <v>2024</v>
      </c>
      <c r="M69" t="s">
        <v>1062</v>
      </c>
      <c r="N69" s="12" t="s">
        <v>2272</v>
      </c>
      <c r="O69" s="12" t="s">
        <v>2271</v>
      </c>
      <c r="P69" s="12" t="s">
        <v>52</v>
      </c>
      <c r="Q69" s="63">
        <v>1841</v>
      </c>
      <c r="R69" s="38" t="str">
        <f t="shared" ref="R69" si="9">H69&amp;" Y "&amp;I69</f>
        <v>TOMAS ALBERTO JOVANY GUZMAN BRITO Y MARIA EVA ROBLES ZUÑIGA</v>
      </c>
      <c r="S69" s="38" t="str">
        <f t="shared" ref="S69" si="10">D69&amp;" "&amp;E69&amp;" DE "&amp;F69</f>
        <v>27 JUNIO DE 2022</v>
      </c>
      <c r="T69" s="38" t="str">
        <f t="shared" ref="T69" si="11">J69&amp;" "&amp;K69&amp;" DE "&amp;L69</f>
        <v>30 JUNIO DE 2024</v>
      </c>
      <c r="U69" s="63">
        <v>2</v>
      </c>
      <c r="V69" s="63">
        <v>228</v>
      </c>
      <c r="W69">
        <v>456</v>
      </c>
    </row>
    <row r="70" spans="1:24">
      <c r="A70" s="38">
        <v>62</v>
      </c>
      <c r="B70" s="24" t="s">
        <v>2285</v>
      </c>
      <c r="D70">
        <v>22</v>
      </c>
      <c r="E70" s="55" t="s">
        <v>18</v>
      </c>
      <c r="F70">
        <v>2020</v>
      </c>
      <c r="G70" s="12" t="s">
        <v>47</v>
      </c>
      <c r="H70" s="12" t="s">
        <v>2286</v>
      </c>
      <c r="I70" s="12" t="s">
        <v>2287</v>
      </c>
      <c r="J70">
        <v>29</v>
      </c>
      <c r="K70" s="12" t="s">
        <v>18</v>
      </c>
      <c r="L70">
        <v>2024</v>
      </c>
      <c r="M70" t="s">
        <v>1062</v>
      </c>
      <c r="N70" s="12" t="s">
        <v>2288</v>
      </c>
      <c r="P70" s="12" t="s">
        <v>52</v>
      </c>
      <c r="Q70">
        <v>1425</v>
      </c>
      <c r="R70" s="38" t="str">
        <f t="shared" si="6"/>
        <v>LAZARO MANUEL GONZALEZ ANDRADE Y CLARA AIME LARA LOPEZ</v>
      </c>
      <c r="S70" s="38" t="str">
        <f t="shared" si="7"/>
        <v>22 JUNIO DE 2020</v>
      </c>
      <c r="T70" s="38" t="str">
        <f t="shared" si="8"/>
        <v>29 JUNIO DE 2024</v>
      </c>
      <c r="U70">
        <v>2</v>
      </c>
      <c r="V70">
        <v>229</v>
      </c>
      <c r="W70">
        <v>457</v>
      </c>
    </row>
    <row r="71" spans="1:24">
      <c r="A71" s="38">
        <v>63</v>
      </c>
      <c r="B71" s="24" t="s">
        <v>2344</v>
      </c>
      <c r="D71">
        <v>14</v>
      </c>
      <c r="E71" s="55" t="s">
        <v>1145</v>
      </c>
      <c r="F71">
        <v>2020</v>
      </c>
      <c r="G71" s="12" t="s">
        <v>47</v>
      </c>
      <c r="H71" s="12" t="s">
        <v>2345</v>
      </c>
      <c r="I71" s="12" t="s">
        <v>2346</v>
      </c>
      <c r="J71">
        <v>6</v>
      </c>
      <c r="K71" s="12" t="s">
        <v>19</v>
      </c>
      <c r="L71">
        <v>2024</v>
      </c>
      <c r="M71" t="s">
        <v>1062</v>
      </c>
      <c r="N71" s="12" t="s">
        <v>2347</v>
      </c>
      <c r="O71" s="12" t="s">
        <v>2348</v>
      </c>
      <c r="P71" s="12" t="s">
        <v>52</v>
      </c>
      <c r="Q71">
        <v>1255</v>
      </c>
      <c r="R71" s="38" t="str">
        <f t="shared" si="6"/>
        <v>ALAN FIGUEROA VILLAVICENCIO  Y KARLA ERNESTINA URIAS PAZ</v>
      </c>
      <c r="S71" s="38" t="str">
        <f t="shared" si="7"/>
        <v>14 SEPTIEMBRE DE 2020</v>
      </c>
      <c r="T71" s="38" t="str">
        <f t="shared" si="8"/>
        <v>6 JULIO DE 2024</v>
      </c>
      <c r="U71">
        <v>2</v>
      </c>
      <c r="V71">
        <v>229</v>
      </c>
      <c r="W71">
        <v>458</v>
      </c>
    </row>
    <row r="72" spans="1:24">
      <c r="A72" s="79">
        <v>64</v>
      </c>
      <c r="B72" s="24" t="s">
        <v>2349</v>
      </c>
      <c r="D72">
        <v>18</v>
      </c>
      <c r="E72" s="55" t="s">
        <v>21</v>
      </c>
      <c r="F72">
        <v>2021</v>
      </c>
      <c r="G72" s="80" t="s">
        <v>47</v>
      </c>
      <c r="H72" s="12" t="s">
        <v>2345</v>
      </c>
      <c r="I72" s="12" t="s">
        <v>2346</v>
      </c>
      <c r="J72">
        <v>6</v>
      </c>
      <c r="K72" s="12" t="s">
        <v>19</v>
      </c>
      <c r="L72">
        <v>2024</v>
      </c>
      <c r="M72" t="s">
        <v>1062</v>
      </c>
      <c r="N72" s="12" t="s">
        <v>2350</v>
      </c>
      <c r="O72" s="12" t="s">
        <v>2351</v>
      </c>
      <c r="P72" s="12" t="s">
        <v>52</v>
      </c>
      <c r="Q72" s="63">
        <v>1577</v>
      </c>
      <c r="R72" s="38" t="str">
        <f t="shared" ref="R72" si="12">H72&amp;" Y "&amp;I72</f>
        <v>ALAN FIGUEROA VILLAVICENCIO  Y KARLA ERNESTINA URIAS PAZ</v>
      </c>
      <c r="S72" s="38" t="str">
        <f t="shared" ref="S72" si="13">D72&amp;" "&amp;E72&amp;" DE "&amp;F72</f>
        <v>18 OCTUBRE DE 2021</v>
      </c>
      <c r="T72" s="38" t="str">
        <f t="shared" ref="T72" si="14">J72&amp;" "&amp;K72&amp;" DE "&amp;L72</f>
        <v>6 JULIO DE 2024</v>
      </c>
      <c r="U72" s="63">
        <v>2</v>
      </c>
      <c r="V72" s="63">
        <v>230</v>
      </c>
      <c r="W72">
        <v>459</v>
      </c>
      <c r="X72" s="63"/>
    </row>
    <row r="73" spans="1:24">
      <c r="A73" s="38">
        <v>65</v>
      </c>
      <c r="B73" s="24" t="s">
        <v>2354</v>
      </c>
      <c r="D73">
        <v>5</v>
      </c>
      <c r="E73" s="55" t="s">
        <v>16</v>
      </c>
      <c r="F73">
        <v>2017</v>
      </c>
      <c r="G73" s="12" t="s">
        <v>47</v>
      </c>
      <c r="H73" s="12" t="s">
        <v>2355</v>
      </c>
      <c r="I73" s="12" t="s">
        <v>2356</v>
      </c>
      <c r="J73">
        <v>10</v>
      </c>
      <c r="K73" s="12" t="s">
        <v>20</v>
      </c>
      <c r="L73">
        <v>2024</v>
      </c>
      <c r="M73" t="s">
        <v>1062</v>
      </c>
      <c r="N73" s="12" t="s">
        <v>2357</v>
      </c>
      <c r="P73" s="12" t="s">
        <v>52</v>
      </c>
      <c r="Q73">
        <v>1078</v>
      </c>
      <c r="R73" s="38" t="str">
        <f t="shared" si="6"/>
        <v>JESUS ALFONSO OROZCO ZOKY  Y ERENDIDA LORENA MENDEZ PEÑA</v>
      </c>
      <c r="S73" s="38" t="str">
        <f t="shared" si="7"/>
        <v>5 ABRIL DE 2017</v>
      </c>
      <c r="T73" s="38" t="str">
        <f t="shared" si="8"/>
        <v>10 AGOSTO DE 2024</v>
      </c>
      <c r="U73">
        <v>2</v>
      </c>
      <c r="V73">
        <v>230</v>
      </c>
      <c r="W73">
        <v>460</v>
      </c>
    </row>
    <row r="74" spans="1:24">
      <c r="A74" s="86">
        <v>66</v>
      </c>
      <c r="B74" s="24" t="s">
        <v>2358</v>
      </c>
      <c r="D74">
        <v>19</v>
      </c>
      <c r="E74" s="55" t="s">
        <v>1145</v>
      </c>
      <c r="F74">
        <v>2022</v>
      </c>
      <c r="G74" s="12" t="s">
        <v>47</v>
      </c>
      <c r="I74" s="12" t="s">
        <v>2359</v>
      </c>
      <c r="J74">
        <v>24</v>
      </c>
      <c r="K74" s="12" t="s">
        <v>20</v>
      </c>
      <c r="L74">
        <v>2024</v>
      </c>
      <c r="M74" t="s">
        <v>1062</v>
      </c>
      <c r="N74" s="12" t="s">
        <v>1843</v>
      </c>
      <c r="O74" s="12" t="s">
        <v>2360</v>
      </c>
      <c r="P74" s="12" t="s">
        <v>52</v>
      </c>
      <c r="Q74" s="63">
        <v>2968</v>
      </c>
      <c r="R74" s="38" t="str">
        <f t="shared" si="6"/>
        <v xml:space="preserve"> Y ROSELINE CADILLO BORBON </v>
      </c>
      <c r="S74" s="38" t="str">
        <f t="shared" si="7"/>
        <v>19 SEPTIEMBRE DE 2022</v>
      </c>
      <c r="T74" s="38" t="str">
        <f t="shared" si="8"/>
        <v>24 AGOSTO DE 2024</v>
      </c>
      <c r="U74" s="85">
        <v>2</v>
      </c>
      <c r="V74" s="85">
        <v>231</v>
      </c>
      <c r="W74">
        <v>461</v>
      </c>
    </row>
    <row r="75" spans="1:24">
      <c r="A75" s="38">
        <v>67</v>
      </c>
      <c r="B75" s="24" t="s">
        <v>2361</v>
      </c>
      <c r="D75">
        <v>1</v>
      </c>
      <c r="E75" s="55" t="s">
        <v>1145</v>
      </c>
      <c r="F75">
        <v>2023</v>
      </c>
      <c r="G75" s="12" t="s">
        <v>47</v>
      </c>
      <c r="H75" t="s">
        <v>2362</v>
      </c>
      <c r="I75" s="12" t="s">
        <v>2363</v>
      </c>
      <c r="J75">
        <v>31</v>
      </c>
      <c r="K75" s="12" t="s">
        <v>20</v>
      </c>
      <c r="L75">
        <v>2024</v>
      </c>
      <c r="M75" t="s">
        <v>1062</v>
      </c>
      <c r="N75" s="12" t="s">
        <v>2365</v>
      </c>
      <c r="O75" s="12" t="s">
        <v>2364</v>
      </c>
      <c r="P75" s="12" t="s">
        <v>52</v>
      </c>
      <c r="Q75" s="63">
        <v>2743</v>
      </c>
      <c r="R75" s="38" t="str">
        <f t="shared" ref="R75:R76" si="15">H75&amp;" Y "&amp;I75</f>
        <v>JACOB DANIEL RAMOS PLASCENCIA Y SANDRA IVONNE RUIZ PRECIADO</v>
      </c>
      <c r="S75" s="38" t="str">
        <f t="shared" ref="S75:S76" si="16">D75&amp;" "&amp;E75&amp;" DE "&amp;F75</f>
        <v>1 SEPTIEMBRE DE 2023</v>
      </c>
      <c r="T75" s="38" t="str">
        <f t="shared" ref="T75:T76" si="17">J75&amp;" "&amp;K75&amp;" DE "&amp;L75</f>
        <v>31 AGOSTO DE 2024</v>
      </c>
      <c r="U75" s="63">
        <v>2</v>
      </c>
      <c r="V75" s="63">
        <v>231</v>
      </c>
      <c r="W75">
        <v>462</v>
      </c>
    </row>
    <row r="76" spans="1:24">
      <c r="A76" s="79">
        <v>68</v>
      </c>
      <c r="B76" s="24" t="s">
        <v>2366</v>
      </c>
      <c r="D76">
        <v>10</v>
      </c>
      <c r="E76" s="55" t="s">
        <v>21</v>
      </c>
      <c r="F76">
        <v>2023</v>
      </c>
      <c r="G76" s="12" t="s">
        <v>2367</v>
      </c>
      <c r="H76" t="s">
        <v>2368</v>
      </c>
      <c r="I76" s="12" t="s">
        <v>2369</v>
      </c>
      <c r="J76">
        <v>7</v>
      </c>
      <c r="K76" s="55" t="s">
        <v>1145</v>
      </c>
      <c r="L76">
        <v>2024</v>
      </c>
      <c r="M76" t="s">
        <v>1062</v>
      </c>
      <c r="N76" s="12" t="s">
        <v>2370</v>
      </c>
      <c r="O76" s="12" t="s">
        <v>2371</v>
      </c>
      <c r="P76" s="12" t="s">
        <v>52</v>
      </c>
      <c r="Q76" s="63">
        <v>2909</v>
      </c>
      <c r="R76" s="38" t="str">
        <f t="shared" si="15"/>
        <v xml:space="preserve">ERICK REYES BARRIENTOS  Y MARISOL ARMENTA VARELA </v>
      </c>
      <c r="S76" s="38" t="str">
        <f t="shared" si="16"/>
        <v>10 OCTUBRE DE 2023</v>
      </c>
      <c r="T76" s="38" t="str">
        <f t="shared" si="17"/>
        <v>7 SEPTIEMBRE DE 2024</v>
      </c>
      <c r="U76" s="63">
        <v>2</v>
      </c>
      <c r="V76" s="63">
        <v>231</v>
      </c>
      <c r="W76" s="63">
        <v>463</v>
      </c>
    </row>
    <row r="77" spans="1:24">
      <c r="A77" s="38">
        <v>69</v>
      </c>
      <c r="B77" s="24" t="s">
        <v>2380</v>
      </c>
      <c r="D77">
        <v>23</v>
      </c>
      <c r="E77" s="55" t="s">
        <v>1145</v>
      </c>
      <c r="F77">
        <v>2018</v>
      </c>
      <c r="G77" s="12" t="s">
        <v>47</v>
      </c>
      <c r="H77" t="s">
        <v>2381</v>
      </c>
      <c r="I77" s="12" t="s">
        <v>2382</v>
      </c>
      <c r="J77">
        <v>21</v>
      </c>
      <c r="K77" s="12" t="s">
        <v>1145</v>
      </c>
      <c r="L77">
        <v>2024</v>
      </c>
      <c r="M77" t="s">
        <v>1062</v>
      </c>
      <c r="N77" s="12" t="s">
        <v>2383</v>
      </c>
      <c r="P77" s="12" t="s">
        <v>52</v>
      </c>
      <c r="Q77" s="63">
        <v>3682</v>
      </c>
      <c r="R77" s="38" t="str">
        <f t="shared" si="6"/>
        <v>BRYAN ALAN GARCIA CORRAL Y PERLA ABIGAIL QUIJADA AMPARANO</v>
      </c>
      <c r="S77" s="38" t="str">
        <f t="shared" si="7"/>
        <v>23 SEPTIEMBRE DE 2018</v>
      </c>
      <c r="T77" s="38" t="str">
        <f t="shared" si="8"/>
        <v>21 SEPTIEMBRE DE 2024</v>
      </c>
      <c r="U77">
        <v>2</v>
      </c>
      <c r="V77" s="63">
        <v>232</v>
      </c>
      <c r="W77">
        <v>464</v>
      </c>
    </row>
    <row r="78" spans="1:24">
      <c r="A78" s="38">
        <v>70</v>
      </c>
      <c r="B78" s="24" t="s">
        <v>2395</v>
      </c>
      <c r="D78">
        <v>8</v>
      </c>
      <c r="E78" s="55" t="s">
        <v>21</v>
      </c>
      <c r="F78">
        <v>2023</v>
      </c>
      <c r="G78" s="12" t="s">
        <v>47</v>
      </c>
      <c r="H78" t="s">
        <v>2396</v>
      </c>
      <c r="I78" s="12" t="s">
        <v>2397</v>
      </c>
      <c r="J78">
        <v>12</v>
      </c>
      <c r="K78" s="12" t="s">
        <v>21</v>
      </c>
      <c r="L78">
        <v>2024</v>
      </c>
      <c r="M78" t="s">
        <v>1062</v>
      </c>
      <c r="N78" s="12" t="s">
        <v>2398</v>
      </c>
      <c r="O78" s="12" t="s">
        <v>2399</v>
      </c>
      <c r="P78" s="12" t="s">
        <v>52</v>
      </c>
      <c r="Q78" s="63">
        <v>2404</v>
      </c>
      <c r="R78" s="38" t="str">
        <f t="shared" si="6"/>
        <v>JAVIER GARDUÑO REYES Y GUADALUPE IRLANDA QUEVEDO GARCIA</v>
      </c>
      <c r="S78" s="38" t="str">
        <f t="shared" si="7"/>
        <v>8 OCTUBRE DE 2023</v>
      </c>
      <c r="T78" s="38" t="str">
        <f t="shared" si="8"/>
        <v>12 OCTUBRE DE 2024</v>
      </c>
      <c r="U78">
        <v>2</v>
      </c>
      <c r="V78" s="63">
        <v>233</v>
      </c>
      <c r="W78">
        <v>465</v>
      </c>
    </row>
    <row r="79" spans="1:24">
      <c r="A79" s="38">
        <v>71</v>
      </c>
      <c r="B79" s="24" t="s">
        <v>2405</v>
      </c>
      <c r="D79">
        <v>21</v>
      </c>
      <c r="E79" s="55" t="s">
        <v>21</v>
      </c>
      <c r="F79">
        <v>2023</v>
      </c>
      <c r="G79" s="12" t="s">
        <v>47</v>
      </c>
      <c r="H79" t="s">
        <v>2406</v>
      </c>
      <c r="I79" s="12" t="s">
        <v>2407</v>
      </c>
      <c r="J79">
        <v>20</v>
      </c>
      <c r="K79" s="12" t="s">
        <v>21</v>
      </c>
      <c r="L79">
        <v>2024</v>
      </c>
      <c r="M79" t="s">
        <v>1062</v>
      </c>
      <c r="N79" s="12" t="s">
        <v>2409</v>
      </c>
      <c r="O79" s="12" t="s">
        <v>2408</v>
      </c>
      <c r="P79" s="12" t="s">
        <v>52</v>
      </c>
      <c r="Q79" s="63">
        <v>2732</v>
      </c>
      <c r="R79" s="38" t="str">
        <f t="shared" si="6"/>
        <v>LEONARDO LANDA ACOSTA Y VIOLETA CECILIA ROMO AGARCIA</v>
      </c>
      <c r="S79" s="38" t="str">
        <f t="shared" si="7"/>
        <v>21 OCTUBRE DE 2023</v>
      </c>
      <c r="T79" s="38" t="str">
        <f t="shared" si="8"/>
        <v>20 OCTUBRE DE 2024</v>
      </c>
      <c r="U79">
        <v>2</v>
      </c>
      <c r="V79" s="63">
        <v>233</v>
      </c>
      <c r="W79">
        <v>466</v>
      </c>
    </row>
    <row r="80" spans="1:24">
      <c r="A80" s="38">
        <v>72</v>
      </c>
      <c r="B80" s="24" t="s">
        <v>2400</v>
      </c>
      <c r="D80">
        <v>12</v>
      </c>
      <c r="E80" s="55" t="s">
        <v>18</v>
      </c>
      <c r="F80">
        <v>2013</v>
      </c>
      <c r="G80" s="12" t="s">
        <v>2401</v>
      </c>
      <c r="H80" t="s">
        <v>2415</v>
      </c>
      <c r="I80" s="12" t="s">
        <v>2402</v>
      </c>
      <c r="J80">
        <v>26</v>
      </c>
      <c r="K80" s="12" t="s">
        <v>21</v>
      </c>
      <c r="L80">
        <v>2024</v>
      </c>
      <c r="M80" t="s">
        <v>1062</v>
      </c>
      <c r="N80" s="12" t="s">
        <v>2403</v>
      </c>
      <c r="O80" s="12" t="s">
        <v>2404</v>
      </c>
      <c r="P80" s="12" t="s">
        <v>52</v>
      </c>
      <c r="Q80" s="63">
        <v>13</v>
      </c>
      <c r="R80" s="38" t="str">
        <f t="shared" si="6"/>
        <v>MARCOS ANTONIO BEJARANO ANGULO Y KARINA ASUCENA FIERRO RAMIREZ</v>
      </c>
      <c r="S80" s="38" t="str">
        <f t="shared" si="7"/>
        <v>12 JUNIO DE 2013</v>
      </c>
      <c r="T80" s="38" t="str">
        <f t="shared" si="8"/>
        <v>26 OCTUBRE DE 2024</v>
      </c>
      <c r="U80">
        <v>2</v>
      </c>
      <c r="V80" s="63">
        <v>234</v>
      </c>
      <c r="W80">
        <v>467</v>
      </c>
    </row>
    <row r="81" spans="1:23">
      <c r="A81" s="79">
        <v>73</v>
      </c>
      <c r="B81" s="24" t="s">
        <v>2410</v>
      </c>
      <c r="D81">
        <v>30</v>
      </c>
      <c r="E81" s="55" t="s">
        <v>21</v>
      </c>
      <c r="F81">
        <v>2023</v>
      </c>
      <c r="G81" s="12" t="s">
        <v>47</v>
      </c>
      <c r="H81" s="12" t="s">
        <v>2411</v>
      </c>
      <c r="I81" s="12" t="s">
        <v>2412</v>
      </c>
      <c r="J81">
        <v>27</v>
      </c>
      <c r="K81" s="12" t="s">
        <v>21</v>
      </c>
      <c r="L81">
        <v>2024</v>
      </c>
      <c r="M81" s="12" t="s">
        <v>1062</v>
      </c>
      <c r="N81" s="12" t="s">
        <v>2413</v>
      </c>
      <c r="O81" s="12" t="s">
        <v>2414</v>
      </c>
      <c r="P81" s="12" t="s">
        <v>52</v>
      </c>
      <c r="Q81" s="63">
        <v>2738</v>
      </c>
      <c r="R81" s="38" t="str">
        <f t="shared" si="6"/>
        <v xml:space="preserve">JESUS RAMON SALAS NIDO Y MARISA DAFNE CORRAL RUEDA </v>
      </c>
      <c r="S81" s="38" t="str">
        <f t="shared" ref="S81" si="18">D81&amp;" "&amp;E81&amp;" DE "&amp;F81</f>
        <v>30 OCTUBRE DE 2023</v>
      </c>
      <c r="T81" s="38" t="str">
        <f t="shared" ref="T81" si="19">J81&amp;" "&amp;K81&amp;" DE "&amp;L81</f>
        <v>27 OCTUBRE DE 2024</v>
      </c>
      <c r="U81" s="63">
        <v>2</v>
      </c>
      <c r="V81" s="63">
        <v>234</v>
      </c>
      <c r="W81" s="63">
        <v>468</v>
      </c>
    </row>
    <row r="82" spans="1:23">
      <c r="A82" s="79">
        <v>74</v>
      </c>
      <c r="B82" s="24" t="s">
        <v>2421</v>
      </c>
      <c r="D82">
        <v>11</v>
      </c>
      <c r="E82" s="55" t="s">
        <v>22</v>
      </c>
      <c r="F82">
        <v>2022</v>
      </c>
      <c r="G82" s="12" t="s">
        <v>47</v>
      </c>
      <c r="H82" s="12" t="s">
        <v>2422</v>
      </c>
      <c r="I82" s="12" t="s">
        <v>2423</v>
      </c>
      <c r="J82">
        <v>9</v>
      </c>
      <c r="K82" s="12" t="s">
        <v>22</v>
      </c>
      <c r="L82">
        <v>2024</v>
      </c>
      <c r="M82" s="12" t="s">
        <v>1062</v>
      </c>
      <c r="N82" s="12" t="s">
        <v>1079</v>
      </c>
      <c r="O82" s="12" t="s">
        <v>1072</v>
      </c>
      <c r="P82" s="12" t="s">
        <v>52</v>
      </c>
      <c r="Q82" s="63">
        <v>1117</v>
      </c>
      <c r="R82" s="38" t="str">
        <f t="shared" si="6"/>
        <v>JESUS ALBERTO GALAVIZ VALDEZ Y MAYRA SANTANA GARDUÑO</v>
      </c>
      <c r="S82" s="38" t="str">
        <f t="shared" ref="S82" si="20">D82&amp;" "&amp;E82&amp;" DE "&amp;F82</f>
        <v>11 NOVIEMBRE DE 2022</v>
      </c>
      <c r="T82" s="38" t="str">
        <f t="shared" ref="T82" si="21">J82&amp;" "&amp;K82&amp;" DE "&amp;L82</f>
        <v>9 NOVIEMBRE DE 2024</v>
      </c>
      <c r="U82" s="63">
        <v>2</v>
      </c>
      <c r="V82" s="63">
        <v>235</v>
      </c>
      <c r="W82" s="63">
        <v>469</v>
      </c>
    </row>
    <row r="83" spans="1:23">
      <c r="A83" s="79">
        <v>75</v>
      </c>
      <c r="B83" s="24" t="s">
        <v>2424</v>
      </c>
      <c r="D83">
        <v>8</v>
      </c>
      <c r="E83" s="55" t="s">
        <v>22</v>
      </c>
      <c r="F83">
        <v>2023</v>
      </c>
      <c r="G83" s="12" t="s">
        <v>47</v>
      </c>
      <c r="H83" s="12" t="s">
        <v>2425</v>
      </c>
      <c r="I83" s="12" t="s">
        <v>2426</v>
      </c>
      <c r="J83">
        <v>24</v>
      </c>
      <c r="K83" s="12" t="s">
        <v>22</v>
      </c>
      <c r="L83">
        <v>2024</v>
      </c>
      <c r="M83" t="s">
        <v>1062</v>
      </c>
      <c r="N83" s="12" t="s">
        <v>2427</v>
      </c>
      <c r="O83" s="12" t="s">
        <v>2428</v>
      </c>
      <c r="P83" s="12" t="s">
        <v>52</v>
      </c>
      <c r="Q83" s="63">
        <v>2653</v>
      </c>
      <c r="R83" s="38" t="str">
        <f t="shared" si="6"/>
        <v>CARLOS ARMANDO VILLALPANDO SESMA Y MABEL ALEJANDRA SANTOS ESPINOZA</v>
      </c>
      <c r="S83" s="38" t="str">
        <f t="shared" si="7"/>
        <v>8 NOVIEMBRE DE 2023</v>
      </c>
      <c r="T83" s="38" t="str">
        <f t="shared" si="8"/>
        <v>24 NOVIEMBRE DE 2024</v>
      </c>
      <c r="U83" s="63">
        <v>2</v>
      </c>
      <c r="V83" s="63">
        <v>235</v>
      </c>
      <c r="W83" s="63">
        <v>470</v>
      </c>
    </row>
    <row r="84" spans="1:23">
      <c r="A84" s="38">
        <v>76</v>
      </c>
      <c r="B84" s="24" t="s">
        <v>2434</v>
      </c>
      <c r="D84">
        <v>13</v>
      </c>
      <c r="E84" s="55" t="s">
        <v>22</v>
      </c>
      <c r="F84">
        <v>2023</v>
      </c>
      <c r="G84" s="12" t="s">
        <v>47</v>
      </c>
      <c r="H84" s="12" t="s">
        <v>2435</v>
      </c>
      <c r="I84" s="12" t="s">
        <v>2436</v>
      </c>
      <c r="J84">
        <v>30</v>
      </c>
      <c r="K84" s="12" t="s">
        <v>22</v>
      </c>
      <c r="L84">
        <v>2024</v>
      </c>
      <c r="M84" t="s">
        <v>1062</v>
      </c>
      <c r="N84" s="12" t="s">
        <v>2437</v>
      </c>
      <c r="O84" s="12" t="s">
        <v>2438</v>
      </c>
      <c r="P84" s="12" t="s">
        <v>52</v>
      </c>
      <c r="Q84" s="63">
        <v>2681</v>
      </c>
      <c r="R84" s="38" t="str">
        <f t="shared" si="6"/>
        <v>RAFAEL RAMIREZ VALDEZ  Y ALEJANDRA GRIJALVA MUÑOZ</v>
      </c>
      <c r="S84" s="38" t="str">
        <f t="shared" si="7"/>
        <v>13 NOVIEMBRE DE 2023</v>
      </c>
      <c r="T84" s="38" t="str">
        <f t="shared" si="8"/>
        <v>30 NOVIEMBRE DE 2024</v>
      </c>
      <c r="U84">
        <v>2</v>
      </c>
      <c r="V84" s="63">
        <v>236</v>
      </c>
      <c r="W84">
        <v>471</v>
      </c>
    </row>
    <row r="85" spans="1:23">
      <c r="A85" s="38">
        <v>77</v>
      </c>
      <c r="B85" s="24" t="s">
        <v>2439</v>
      </c>
      <c r="D85">
        <v>27</v>
      </c>
      <c r="E85" s="55" t="s">
        <v>22</v>
      </c>
      <c r="F85">
        <v>2023</v>
      </c>
      <c r="G85" s="12" t="s">
        <v>47</v>
      </c>
      <c r="H85" s="12" t="s">
        <v>2440</v>
      </c>
      <c r="I85" s="12" t="s">
        <v>2441</v>
      </c>
      <c r="J85">
        <v>30</v>
      </c>
      <c r="K85" s="12" t="s">
        <v>22</v>
      </c>
      <c r="L85">
        <v>2024</v>
      </c>
      <c r="M85" t="s">
        <v>1062</v>
      </c>
      <c r="N85" s="12" t="s">
        <v>2442</v>
      </c>
      <c r="O85" s="12" t="s">
        <v>2443</v>
      </c>
      <c r="P85" s="12" t="s">
        <v>52</v>
      </c>
      <c r="Q85" s="63">
        <v>2774</v>
      </c>
      <c r="R85" s="38" t="str">
        <f t="shared" si="6"/>
        <v>ALEJANDRO CORONADO ESPINOZA Y DENISSE ABIGAIL VAZQUEZ PEREZ</v>
      </c>
      <c r="S85" s="38" t="str">
        <f t="shared" si="7"/>
        <v>27 NOVIEMBRE DE 2023</v>
      </c>
      <c r="T85" s="38" t="str">
        <f t="shared" si="8"/>
        <v>30 NOVIEMBRE DE 2024</v>
      </c>
      <c r="U85">
        <v>2</v>
      </c>
      <c r="V85" s="63">
        <v>236</v>
      </c>
      <c r="W85">
        <v>472</v>
      </c>
    </row>
    <row r="86" spans="1:23">
      <c r="A86" s="38">
        <v>78</v>
      </c>
      <c r="B86" s="24" t="s">
        <v>2450</v>
      </c>
      <c r="D86">
        <v>3</v>
      </c>
      <c r="E86" s="55" t="s">
        <v>23</v>
      </c>
      <c r="F86">
        <v>2016</v>
      </c>
      <c r="G86" s="12" t="s">
        <v>47</v>
      </c>
      <c r="H86" s="12" t="s">
        <v>2451</v>
      </c>
      <c r="I86" s="12" t="s">
        <v>2452</v>
      </c>
      <c r="J86">
        <v>14</v>
      </c>
      <c r="K86" s="12" t="s">
        <v>23</v>
      </c>
      <c r="L86">
        <v>2024</v>
      </c>
      <c r="M86" t="s">
        <v>1062</v>
      </c>
      <c r="N86" s="12" t="s">
        <v>2453</v>
      </c>
      <c r="O86" s="12" t="s">
        <v>2454</v>
      </c>
      <c r="P86" s="12" t="s">
        <v>52</v>
      </c>
      <c r="Q86" s="63">
        <v>1590</v>
      </c>
      <c r="R86" s="38" t="str">
        <f t="shared" si="6"/>
        <v>DAMIAN CAÑEZ NORIEGA Y ALMA JUDITH CHAVEZ QUEZADA</v>
      </c>
      <c r="S86" s="38" t="str">
        <f t="shared" si="7"/>
        <v>3 DICIEMBRE DE 2016</v>
      </c>
      <c r="T86" s="38" t="str">
        <f t="shared" si="8"/>
        <v>14 DICIEMBRE DE 2024</v>
      </c>
      <c r="U86">
        <v>2</v>
      </c>
      <c r="V86" s="63">
        <v>237</v>
      </c>
      <c r="W86">
        <v>473</v>
      </c>
    </row>
    <row r="87" spans="1:23">
      <c r="A87" s="38">
        <v>79</v>
      </c>
      <c r="B87" s="24" t="s">
        <v>2455</v>
      </c>
      <c r="D87">
        <v>14</v>
      </c>
      <c r="E87" s="55" t="s">
        <v>23</v>
      </c>
      <c r="F87">
        <v>2022</v>
      </c>
      <c r="G87" s="12" t="s">
        <v>47</v>
      </c>
      <c r="H87" s="12" t="s">
        <v>2456</v>
      </c>
      <c r="I87" s="12" t="s">
        <v>2457</v>
      </c>
      <c r="J87">
        <v>14</v>
      </c>
      <c r="K87" s="12" t="s">
        <v>23</v>
      </c>
      <c r="L87">
        <v>2024</v>
      </c>
      <c r="M87" t="s">
        <v>1062</v>
      </c>
      <c r="N87" s="12" t="s">
        <v>2458</v>
      </c>
      <c r="O87" s="12" t="s">
        <v>2459</v>
      </c>
      <c r="P87" s="12" t="s">
        <v>52</v>
      </c>
      <c r="Q87" s="63">
        <v>93</v>
      </c>
      <c r="R87" s="38" t="str">
        <f t="shared" si="6"/>
        <v>JONATHAN AARON LOPEZ MARTINEZ Y RITA LILIANA LEON HIDALGO</v>
      </c>
      <c r="S87" s="38" t="str">
        <f t="shared" si="7"/>
        <v>14 DICIEMBRE DE 2022</v>
      </c>
      <c r="T87" s="38" t="str">
        <f t="shared" si="8"/>
        <v>14 DICIEMBRE DE 2024</v>
      </c>
      <c r="U87">
        <v>2</v>
      </c>
      <c r="V87" s="63">
        <v>237</v>
      </c>
      <c r="W87">
        <v>474</v>
      </c>
    </row>
    <row r="88" spans="1:23">
      <c r="A88" s="79">
        <v>80</v>
      </c>
      <c r="B88" s="24" t="s">
        <v>2460</v>
      </c>
      <c r="D88">
        <v>15</v>
      </c>
      <c r="E88" s="55" t="s">
        <v>23</v>
      </c>
      <c r="F88">
        <v>2022</v>
      </c>
      <c r="G88" s="12" t="s">
        <v>47</v>
      </c>
      <c r="H88" s="12" t="s">
        <v>2461</v>
      </c>
      <c r="I88" s="12" t="s">
        <v>2462</v>
      </c>
      <c r="J88">
        <v>14</v>
      </c>
      <c r="K88" s="12" t="s">
        <v>23</v>
      </c>
      <c r="L88">
        <v>2024</v>
      </c>
      <c r="M88" t="s">
        <v>1062</v>
      </c>
      <c r="N88" s="12" t="s">
        <v>2463</v>
      </c>
      <c r="O88" s="12" t="s">
        <v>2464</v>
      </c>
      <c r="P88" s="12" t="s">
        <v>52</v>
      </c>
      <c r="Q88" s="63">
        <v>3545</v>
      </c>
      <c r="R88" s="38" t="str">
        <f t="shared" si="6"/>
        <v>JOSE RENE LUZANIA GAMEZ Y MICHELLE VIRIDIANA LEDGARD ACUÑA</v>
      </c>
      <c r="S88" s="38" t="str">
        <f t="shared" si="7"/>
        <v>15 DICIEMBRE DE 2022</v>
      </c>
      <c r="T88" s="38" t="str">
        <f t="shared" si="8"/>
        <v>14 DICIEMBRE DE 2024</v>
      </c>
      <c r="U88" s="63">
        <v>2</v>
      </c>
      <c r="V88" s="63">
        <v>238</v>
      </c>
      <c r="W88" s="63">
        <v>475</v>
      </c>
    </row>
    <row r="89" spans="1:23" ht="20.25">
      <c r="A89" s="79"/>
      <c r="B89" s="21" t="s">
        <v>2470</v>
      </c>
      <c r="P89" s="12"/>
      <c r="T89" s="38" t="str">
        <f t="shared" si="8"/>
        <v xml:space="preserve">  DE </v>
      </c>
      <c r="U89" s="63"/>
      <c r="V89" s="63"/>
      <c r="W89" s="63"/>
    </row>
    <row r="90" spans="1:23">
      <c r="A90" s="38">
        <v>81</v>
      </c>
      <c r="B90" s="24" t="s">
        <v>2465</v>
      </c>
      <c r="D90">
        <v>30</v>
      </c>
      <c r="E90" s="55" t="s">
        <v>72</v>
      </c>
      <c r="F90">
        <v>2024</v>
      </c>
      <c r="G90" t="s">
        <v>47</v>
      </c>
      <c r="H90" t="s">
        <v>2466</v>
      </c>
      <c r="I90" t="s">
        <v>2469</v>
      </c>
      <c r="J90">
        <v>4</v>
      </c>
      <c r="K90" t="s">
        <v>13</v>
      </c>
      <c r="L90">
        <v>2025</v>
      </c>
      <c r="M90" t="s">
        <v>1062</v>
      </c>
      <c r="N90" t="s">
        <v>2467</v>
      </c>
      <c r="O90" t="s">
        <v>2468</v>
      </c>
      <c r="P90" s="12" t="s">
        <v>52</v>
      </c>
      <c r="Q90" s="63">
        <v>916</v>
      </c>
      <c r="R90" s="38" t="str">
        <f t="shared" si="6"/>
        <v>JOSE FERNANDO CORRAL GADEA Y JOELIZ ANDREYNA  GAONA HARO</v>
      </c>
      <c r="S90" s="38" t="str">
        <f t="shared" si="7"/>
        <v>30 MARZO  DE 2024</v>
      </c>
      <c r="T90" s="38" t="str">
        <f t="shared" si="8"/>
        <v>4 ENERO DE 2025</v>
      </c>
      <c r="U90">
        <v>2</v>
      </c>
      <c r="V90" s="63">
        <v>238</v>
      </c>
      <c r="W90">
        <v>476</v>
      </c>
    </row>
    <row r="91" spans="1:23">
      <c r="A91" s="38">
        <v>82</v>
      </c>
      <c r="B91" s="24" t="s">
        <v>2471</v>
      </c>
      <c r="D91">
        <v>20</v>
      </c>
      <c r="E91" s="55" t="s">
        <v>1145</v>
      </c>
      <c r="F91">
        <v>2024</v>
      </c>
      <c r="G91" t="s">
        <v>47</v>
      </c>
      <c r="H91" t="s">
        <v>2472</v>
      </c>
      <c r="I91" t="s">
        <v>2473</v>
      </c>
      <c r="J91">
        <v>25</v>
      </c>
      <c r="K91" t="s">
        <v>13</v>
      </c>
      <c r="L91">
        <v>2025</v>
      </c>
      <c r="M91" t="s">
        <v>1062</v>
      </c>
      <c r="N91" t="s">
        <v>2474</v>
      </c>
      <c r="O91" t="s">
        <v>2475</v>
      </c>
      <c r="P91" s="12" t="s">
        <v>52</v>
      </c>
      <c r="Q91" s="63">
        <v>2232</v>
      </c>
      <c r="R91" s="38" t="str">
        <f t="shared" si="6"/>
        <v xml:space="preserve">EDGAR MANUEL VARGAS MENDOZA Y MARIA PAULINA RODRIGUEZ LARA </v>
      </c>
      <c r="S91" s="38" t="str">
        <f t="shared" si="7"/>
        <v>20 SEPTIEMBRE DE 2024</v>
      </c>
      <c r="T91" s="38" t="str">
        <f t="shared" si="8"/>
        <v>25 ENERO DE 2025</v>
      </c>
      <c r="U91">
        <v>2</v>
      </c>
      <c r="V91" s="63">
        <v>239</v>
      </c>
      <c r="W91">
        <v>477</v>
      </c>
    </row>
    <row r="92" spans="1:23">
      <c r="A92" s="38">
        <v>83</v>
      </c>
      <c r="B92" s="24" t="s">
        <v>2476</v>
      </c>
      <c r="D92">
        <v>27</v>
      </c>
      <c r="E92" s="55" t="s">
        <v>1145</v>
      </c>
      <c r="F92">
        <v>2024</v>
      </c>
      <c r="G92" t="s">
        <v>47</v>
      </c>
      <c r="H92" t="s">
        <v>2477</v>
      </c>
      <c r="I92" t="s">
        <v>2478</v>
      </c>
      <c r="J92">
        <v>2</v>
      </c>
      <c r="K92" t="s">
        <v>14</v>
      </c>
      <c r="L92">
        <v>2025</v>
      </c>
      <c r="M92" t="s">
        <v>1062</v>
      </c>
      <c r="N92" t="s">
        <v>2479</v>
      </c>
      <c r="O92" t="s">
        <v>2480</v>
      </c>
      <c r="P92" s="12" t="s">
        <v>52</v>
      </c>
      <c r="Q92" s="63">
        <v>2673</v>
      </c>
      <c r="R92" s="38" t="str">
        <f t="shared" si="6"/>
        <v>JOSE ADOLFO SANCHEZ SIQUEIROS Y NORMA ROSAS VALENZUELA</v>
      </c>
      <c r="S92" s="38" t="str">
        <f t="shared" si="7"/>
        <v>27 SEPTIEMBRE DE 2024</v>
      </c>
      <c r="T92" s="38" t="str">
        <f t="shared" si="8"/>
        <v>2 FEBRERO DE 2025</v>
      </c>
      <c r="U92">
        <v>2</v>
      </c>
      <c r="V92" s="63">
        <v>239</v>
      </c>
      <c r="W92">
        <v>478</v>
      </c>
    </row>
    <row r="93" spans="1:23">
      <c r="A93" s="38">
        <v>84</v>
      </c>
      <c r="B93" s="24" t="s">
        <v>2485</v>
      </c>
      <c r="D93">
        <v>6</v>
      </c>
      <c r="E93" s="55" t="s">
        <v>20</v>
      </c>
      <c r="F93">
        <v>2024</v>
      </c>
      <c r="G93" t="s">
        <v>47</v>
      </c>
      <c r="H93" t="s">
        <v>2486</v>
      </c>
      <c r="I93" t="s">
        <v>2487</v>
      </c>
      <c r="J93">
        <v>22</v>
      </c>
      <c r="K93" t="s">
        <v>14</v>
      </c>
      <c r="L93">
        <v>2025</v>
      </c>
      <c r="M93" t="s">
        <v>1062</v>
      </c>
      <c r="N93" t="s">
        <v>2488</v>
      </c>
      <c r="O93" t="s">
        <v>2489</v>
      </c>
      <c r="P93" s="12" t="s">
        <v>52</v>
      </c>
      <c r="Q93" s="63">
        <v>1315</v>
      </c>
      <c r="R93" s="38" t="str">
        <f t="shared" si="6"/>
        <v>DIEGO VALENTE AMAYA TRUJILLO Y EDISA GEORGINA GONZALEZ ALMADA</v>
      </c>
      <c r="S93" s="38" t="str">
        <f t="shared" si="7"/>
        <v>6 AGOSTO DE 2024</v>
      </c>
      <c r="T93" s="38" t="str">
        <f t="shared" si="8"/>
        <v>22 FEBRERO DE 2025</v>
      </c>
      <c r="U93">
        <v>2</v>
      </c>
      <c r="V93" s="63">
        <v>240</v>
      </c>
      <c r="W93">
        <v>479</v>
      </c>
    </row>
    <row r="94" spans="1:23">
      <c r="A94" s="38">
        <v>85</v>
      </c>
      <c r="B94" s="24" t="s">
        <v>2490</v>
      </c>
      <c r="D94">
        <v>28</v>
      </c>
      <c r="E94" s="55" t="s">
        <v>14</v>
      </c>
      <c r="F94">
        <v>2023</v>
      </c>
      <c r="G94" t="s">
        <v>47</v>
      </c>
      <c r="H94" t="s">
        <v>2491</v>
      </c>
      <c r="I94" t="s">
        <v>2492</v>
      </c>
      <c r="J94">
        <v>1</v>
      </c>
      <c r="K94" t="s">
        <v>15</v>
      </c>
      <c r="L94">
        <v>2025</v>
      </c>
      <c r="M94" t="s">
        <v>1062</v>
      </c>
      <c r="N94" t="s">
        <v>2493</v>
      </c>
      <c r="O94" t="s">
        <v>2494</v>
      </c>
      <c r="P94" s="12" t="s">
        <v>52</v>
      </c>
      <c r="Q94" s="63">
        <v>885</v>
      </c>
      <c r="R94" s="38" t="str">
        <f t="shared" si="6"/>
        <v>JESUS MARTIN ROJO RUELAS Y GENESIS RUBY BRACAMONTE ARVIZU</v>
      </c>
      <c r="S94" s="38" t="str">
        <f t="shared" si="7"/>
        <v>28 FEBRERO DE 2023</v>
      </c>
      <c r="T94" s="38" t="str">
        <f t="shared" si="8"/>
        <v>1 MARZO DE 2025</v>
      </c>
      <c r="U94">
        <v>2</v>
      </c>
      <c r="V94" s="63">
        <v>240</v>
      </c>
      <c r="W94">
        <v>480</v>
      </c>
    </row>
    <row r="95" spans="1:23">
      <c r="A95" s="38">
        <v>86</v>
      </c>
      <c r="B95" s="24" t="s">
        <v>2498</v>
      </c>
      <c r="D95">
        <v>18</v>
      </c>
      <c r="E95" s="55" t="s">
        <v>2499</v>
      </c>
      <c r="F95">
        <v>2013</v>
      </c>
      <c r="G95" t="s">
        <v>47</v>
      </c>
      <c r="H95" t="s">
        <v>2500</v>
      </c>
      <c r="I95" t="s">
        <v>2501</v>
      </c>
      <c r="J95">
        <v>15</v>
      </c>
      <c r="K95" t="s">
        <v>15</v>
      </c>
      <c r="L95">
        <v>2025</v>
      </c>
      <c r="M95" t="s">
        <v>1062</v>
      </c>
      <c r="N95" t="s">
        <v>2503</v>
      </c>
      <c r="O95" t="s">
        <v>2502</v>
      </c>
      <c r="P95" s="12" t="s">
        <v>52</v>
      </c>
      <c r="Q95" s="63">
        <v>1899</v>
      </c>
      <c r="R95" s="38" t="str">
        <f t="shared" si="6"/>
        <v>ADRIAN ALEJANDRO QUINTERO AGUIRRE Y BRENDA LIZETH CASTILLO VALENZUELA</v>
      </c>
      <c r="S95" s="38" t="str">
        <f t="shared" si="7"/>
        <v>18 ABRIL  DE 2013</v>
      </c>
      <c r="T95" s="38" t="str">
        <f t="shared" si="8"/>
        <v>15 MARZO DE 2025</v>
      </c>
      <c r="U95">
        <v>2</v>
      </c>
      <c r="V95" s="63">
        <v>241</v>
      </c>
      <c r="W95">
        <v>481</v>
      </c>
    </row>
    <row r="96" spans="1:23">
      <c r="A96" s="38">
        <v>87</v>
      </c>
      <c r="B96" s="24" t="s">
        <v>2504</v>
      </c>
      <c r="D96">
        <v>19</v>
      </c>
      <c r="E96" s="55" t="s">
        <v>18</v>
      </c>
      <c r="F96">
        <v>2024</v>
      </c>
      <c r="G96" t="s">
        <v>47</v>
      </c>
      <c r="H96" t="s">
        <v>2505</v>
      </c>
      <c r="I96" t="s">
        <v>2506</v>
      </c>
      <c r="J96">
        <v>16</v>
      </c>
      <c r="K96" t="s">
        <v>15</v>
      </c>
      <c r="L96">
        <v>2025</v>
      </c>
      <c r="M96" t="s">
        <v>1062</v>
      </c>
      <c r="N96" t="s">
        <v>2507</v>
      </c>
      <c r="O96" t="s">
        <v>2508</v>
      </c>
      <c r="P96" s="12" t="s">
        <v>52</v>
      </c>
      <c r="Q96" s="63">
        <v>1026</v>
      </c>
      <c r="R96" s="38" t="str">
        <f t="shared" si="6"/>
        <v>GUADALUPE CABANILLAS SAVEEDRA Y ANA GABRIELA ORTIZ RIOS</v>
      </c>
      <c r="S96" s="38" t="str">
        <f t="shared" si="7"/>
        <v>19 JUNIO DE 2024</v>
      </c>
      <c r="T96" s="38" t="str">
        <f t="shared" si="8"/>
        <v>16 MARZO DE 2025</v>
      </c>
      <c r="U96">
        <v>2</v>
      </c>
      <c r="V96" s="63">
        <v>241</v>
      </c>
      <c r="W96">
        <v>482</v>
      </c>
    </row>
    <row r="97" spans="1:23">
      <c r="A97" s="38">
        <v>88</v>
      </c>
      <c r="B97" s="24" t="s">
        <v>2509</v>
      </c>
      <c r="D97">
        <v>19</v>
      </c>
      <c r="E97" s="55" t="s">
        <v>20</v>
      </c>
      <c r="F97">
        <v>2024</v>
      </c>
      <c r="G97" t="s">
        <v>47</v>
      </c>
      <c r="H97" t="s">
        <v>2510</v>
      </c>
      <c r="I97" t="s">
        <v>2511</v>
      </c>
      <c r="J97">
        <v>16</v>
      </c>
      <c r="K97" t="s">
        <v>15</v>
      </c>
      <c r="L97">
        <v>2025</v>
      </c>
      <c r="M97" t="s">
        <v>1062</v>
      </c>
      <c r="N97" t="s">
        <v>2512</v>
      </c>
      <c r="O97" t="s">
        <v>2513</v>
      </c>
      <c r="P97" s="12" t="s">
        <v>52</v>
      </c>
      <c r="Q97" s="63">
        <v>2244</v>
      </c>
      <c r="R97" s="38" t="str">
        <f t="shared" si="6"/>
        <v>JOSE ALFREDO ATONDO PEREA Y YASMIN ESMERALDA MOLINA GONZALEZ</v>
      </c>
      <c r="S97" s="38" t="str">
        <f t="shared" si="7"/>
        <v>19 AGOSTO DE 2024</v>
      </c>
      <c r="T97" s="38" t="str">
        <f t="shared" si="8"/>
        <v>16 MARZO DE 2025</v>
      </c>
      <c r="U97">
        <v>2</v>
      </c>
      <c r="V97" s="63">
        <v>242</v>
      </c>
      <c r="W97">
        <v>483</v>
      </c>
    </row>
    <row r="98" spans="1:23">
      <c r="A98" s="38">
        <v>89</v>
      </c>
      <c r="B98" s="24" t="s">
        <v>2519</v>
      </c>
      <c r="D98">
        <v>14</v>
      </c>
      <c r="E98" s="55" t="s">
        <v>15</v>
      </c>
      <c r="F98">
        <v>2024</v>
      </c>
      <c r="G98" t="s">
        <v>47</v>
      </c>
      <c r="H98" t="s">
        <v>2520</v>
      </c>
      <c r="I98" t="s">
        <v>2521</v>
      </c>
      <c r="J98">
        <v>30</v>
      </c>
      <c r="K98" t="s">
        <v>15</v>
      </c>
      <c r="L98">
        <v>2025</v>
      </c>
      <c r="M98" t="s">
        <v>1062</v>
      </c>
      <c r="N98" t="s">
        <v>2522</v>
      </c>
      <c r="O98" t="s">
        <v>2523</v>
      </c>
      <c r="P98" s="12" t="s">
        <v>52</v>
      </c>
      <c r="Q98" s="63">
        <v>534</v>
      </c>
      <c r="R98" s="38" t="str">
        <f t="shared" si="6"/>
        <v xml:space="preserve">SAUL YAÑEZ CANIZALEZ Y CYNTHIA KARINA AVILES CORDOVA </v>
      </c>
      <c r="S98" s="38" t="str">
        <f t="shared" si="7"/>
        <v>14 MARZO DE 2024</v>
      </c>
      <c r="T98" s="38" t="str">
        <f t="shared" si="8"/>
        <v>30 MARZO DE 2025</v>
      </c>
      <c r="U98">
        <v>2</v>
      </c>
      <c r="V98" s="63">
        <v>242</v>
      </c>
      <c r="W98">
        <v>484</v>
      </c>
    </row>
    <row r="99" spans="1:23">
      <c r="A99" s="38">
        <v>90</v>
      </c>
      <c r="B99" s="24" t="s">
        <v>2597</v>
      </c>
      <c r="D99">
        <v>5</v>
      </c>
      <c r="E99" s="55" t="s">
        <v>22</v>
      </c>
      <c r="F99">
        <v>1976</v>
      </c>
      <c r="G99" t="s">
        <v>2615</v>
      </c>
      <c r="H99" t="s">
        <v>2616</v>
      </c>
      <c r="I99" t="s">
        <v>2617</v>
      </c>
      <c r="J99">
        <v>19</v>
      </c>
      <c r="K99" t="s">
        <v>16</v>
      </c>
      <c r="L99">
        <v>2025</v>
      </c>
      <c r="M99" t="s">
        <v>1062</v>
      </c>
      <c r="N99" s="12" t="s">
        <v>2607</v>
      </c>
      <c r="P99" s="12" t="s">
        <v>52</v>
      </c>
      <c r="Q99" s="63">
        <v>5333</v>
      </c>
      <c r="R99" s="38" t="str">
        <f t="shared" si="6"/>
        <v>CAMILO PEREZ TRINIDAD Y PETRONA LOPEZ RAMIREZ</v>
      </c>
      <c r="S99" s="38" t="str">
        <f t="shared" si="7"/>
        <v>5 NOVIEMBRE DE 1976</v>
      </c>
      <c r="T99" s="38" t="str">
        <f t="shared" si="8"/>
        <v>19 ABRIL DE 2025</v>
      </c>
      <c r="U99">
        <v>2</v>
      </c>
      <c r="V99" s="63">
        <v>243</v>
      </c>
      <c r="W99">
        <v>485</v>
      </c>
    </row>
    <row r="100" spans="1:23">
      <c r="A100" s="38">
        <v>91</v>
      </c>
      <c r="B100" s="24" t="s">
        <v>2598</v>
      </c>
      <c r="D100">
        <v>18</v>
      </c>
      <c r="E100" s="55" t="s">
        <v>1145</v>
      </c>
      <c r="F100">
        <v>1980</v>
      </c>
      <c r="G100" t="s">
        <v>2599</v>
      </c>
      <c r="H100" t="s">
        <v>2600</v>
      </c>
      <c r="I100" t="s">
        <v>2601</v>
      </c>
      <c r="J100">
        <v>19</v>
      </c>
      <c r="K100" t="s">
        <v>16</v>
      </c>
      <c r="L100">
        <v>2025</v>
      </c>
      <c r="M100" t="s">
        <v>1062</v>
      </c>
      <c r="N100" s="12" t="s">
        <v>2613</v>
      </c>
      <c r="P100" t="s">
        <v>52</v>
      </c>
      <c r="Q100" s="63">
        <v>3042</v>
      </c>
      <c r="R100" s="38" t="str">
        <f t="shared" si="6"/>
        <v>MANUEL CAMPOS ESTRADA Y GUADALUPE SALGADO DE CAMPOS</v>
      </c>
      <c r="S100" s="38" t="str">
        <f t="shared" si="7"/>
        <v>18 SEPTIEMBRE DE 1980</v>
      </c>
      <c r="T100" s="38" t="str">
        <f t="shared" si="8"/>
        <v>19 ABRIL DE 2025</v>
      </c>
      <c r="U100">
        <v>2</v>
      </c>
      <c r="V100" s="63">
        <v>243</v>
      </c>
      <c r="W100">
        <v>486</v>
      </c>
    </row>
    <row r="101" spans="1:23">
      <c r="A101" s="38">
        <v>92</v>
      </c>
      <c r="B101" s="24" t="s">
        <v>2605</v>
      </c>
      <c r="D101">
        <v>15</v>
      </c>
      <c r="E101" s="55" t="s">
        <v>21</v>
      </c>
      <c r="F101">
        <v>1975</v>
      </c>
      <c r="G101" t="s">
        <v>2602</v>
      </c>
      <c r="H101" t="s">
        <v>2603</v>
      </c>
      <c r="I101" t="s">
        <v>2604</v>
      </c>
      <c r="J101">
        <v>19</v>
      </c>
      <c r="K101" t="s">
        <v>16</v>
      </c>
      <c r="L101">
        <v>2025</v>
      </c>
      <c r="M101" t="s">
        <v>1062</v>
      </c>
      <c r="N101" s="12" t="s">
        <v>2614</v>
      </c>
      <c r="P101" t="s">
        <v>52</v>
      </c>
      <c r="Q101" s="63">
        <v>641</v>
      </c>
      <c r="R101" s="38" t="str">
        <f t="shared" si="6"/>
        <v xml:space="preserve">CRUZ QUINTANA Y RAMONA ZARATE </v>
      </c>
      <c r="S101" s="38" t="str">
        <f t="shared" si="7"/>
        <v>15 OCTUBRE DE 1975</v>
      </c>
      <c r="T101" s="38" t="str">
        <f t="shared" si="8"/>
        <v>19 ABRIL DE 2025</v>
      </c>
      <c r="U101">
        <v>2</v>
      </c>
      <c r="V101" s="63">
        <v>244</v>
      </c>
      <c r="W101">
        <v>487</v>
      </c>
    </row>
    <row r="102" spans="1:23">
      <c r="A102" s="38">
        <v>93</v>
      </c>
      <c r="B102" s="24" t="s">
        <v>2524</v>
      </c>
      <c r="D102">
        <v>3</v>
      </c>
      <c r="E102" s="55" t="s">
        <v>20</v>
      </c>
      <c r="F102">
        <v>2024</v>
      </c>
      <c r="G102" t="s">
        <v>47</v>
      </c>
      <c r="H102" t="s">
        <v>2525</v>
      </c>
      <c r="I102" t="s">
        <v>2526</v>
      </c>
      <c r="J102">
        <v>20</v>
      </c>
      <c r="K102" t="s">
        <v>16</v>
      </c>
      <c r="L102">
        <v>2025</v>
      </c>
      <c r="M102" t="s">
        <v>1062</v>
      </c>
      <c r="N102" t="s">
        <v>2527</v>
      </c>
      <c r="O102" t="s">
        <v>2528</v>
      </c>
      <c r="P102" s="12" t="s">
        <v>52</v>
      </c>
      <c r="Q102" s="63">
        <v>2086</v>
      </c>
      <c r="R102" s="38" t="str">
        <f>H102&amp;" Y "&amp;I102</f>
        <v>OSCAR JAVIER LEON VALDEZ Y CINTHYA ALEJANDRA VALENZUELA LEON</v>
      </c>
      <c r="S102" s="38" t="str">
        <f>D102&amp;" "&amp;E102&amp;" DE "&amp;F102</f>
        <v>3 AGOSTO DE 2024</v>
      </c>
      <c r="T102" s="38" t="str">
        <f>J102&amp;" "&amp;K102&amp;" DE "&amp;L102</f>
        <v>20 ABRIL DE 2025</v>
      </c>
      <c r="U102">
        <v>2</v>
      </c>
      <c r="V102" s="63">
        <v>244</v>
      </c>
      <c r="W102">
        <v>488</v>
      </c>
    </row>
    <row r="103" spans="1:23">
      <c r="A103" s="38">
        <v>94</v>
      </c>
      <c r="B103" s="24" t="s">
        <v>2702</v>
      </c>
      <c r="D103">
        <v>4</v>
      </c>
      <c r="E103" s="55" t="s">
        <v>13</v>
      </c>
      <c r="F103">
        <v>2022</v>
      </c>
      <c r="G103" t="s">
        <v>47</v>
      </c>
      <c r="H103" t="s">
        <v>589</v>
      </c>
      <c r="I103" t="s">
        <v>590</v>
      </c>
      <c r="J103">
        <v>27</v>
      </c>
      <c r="K103" t="s">
        <v>16</v>
      </c>
      <c r="L103">
        <v>2025</v>
      </c>
      <c r="M103" t="s">
        <v>1062</v>
      </c>
      <c r="N103" t="s">
        <v>2703</v>
      </c>
      <c r="O103" t="s">
        <v>2704</v>
      </c>
      <c r="P103" s="12" t="s">
        <v>52</v>
      </c>
      <c r="Q103" s="63">
        <v>99</v>
      </c>
      <c r="R103" s="38" t="str">
        <f t="shared" ref="R103:R129" si="22">H103&amp;" Y "&amp;I103</f>
        <v>JUAN ESTEBAN GARCIA PEREZ Y ALEJANDRA ALCARAZ LAFARGA</v>
      </c>
      <c r="S103" s="38" t="str">
        <f t="shared" ref="S103:S129" si="23">D103&amp;" "&amp;E103&amp;" DE "&amp;F103</f>
        <v>4 ENERO DE 2022</v>
      </c>
      <c r="T103" s="38" t="str">
        <f t="shared" ref="T103:T129" si="24">J103&amp;" "&amp;K103&amp;" DE "&amp;L103</f>
        <v>27 ABRIL DE 2025</v>
      </c>
      <c r="U103">
        <v>2</v>
      </c>
      <c r="V103" s="63">
        <v>245</v>
      </c>
      <c r="W103">
        <v>489</v>
      </c>
    </row>
    <row r="104" spans="1:23">
      <c r="A104" s="38">
        <v>95</v>
      </c>
      <c r="B104" s="24" t="s">
        <v>2705</v>
      </c>
      <c r="D104">
        <v>3</v>
      </c>
      <c r="E104" s="55" t="s">
        <v>17</v>
      </c>
      <c r="F104">
        <v>2024</v>
      </c>
      <c r="G104" t="s">
        <v>47</v>
      </c>
      <c r="H104" t="s">
        <v>2706</v>
      </c>
      <c r="I104" t="s">
        <v>2707</v>
      </c>
      <c r="J104">
        <v>4</v>
      </c>
      <c r="K104" t="s">
        <v>17</v>
      </c>
      <c r="L104">
        <v>2025</v>
      </c>
      <c r="M104" t="s">
        <v>1062</v>
      </c>
      <c r="N104" t="s">
        <v>2708</v>
      </c>
      <c r="O104" t="s">
        <v>2709</v>
      </c>
      <c r="P104" s="12" t="s">
        <v>52</v>
      </c>
      <c r="Q104" s="63">
        <v>1384</v>
      </c>
      <c r="R104" s="38" t="str">
        <f t="shared" si="22"/>
        <v>DAVID CARBALLO VARELA Y KIARA ESTEFANIA ESPERICUETA MESTA</v>
      </c>
      <c r="S104" s="38" t="str">
        <f t="shared" si="23"/>
        <v>3 MAYO DE 2024</v>
      </c>
      <c r="T104" s="38" t="str">
        <f t="shared" si="24"/>
        <v>4 MAYO DE 2025</v>
      </c>
      <c r="U104">
        <v>2</v>
      </c>
      <c r="V104" s="63">
        <v>245</v>
      </c>
      <c r="W104">
        <v>490</v>
      </c>
    </row>
    <row r="105" spans="1:23">
      <c r="A105" s="38">
        <v>96</v>
      </c>
      <c r="B105" s="24" t="s">
        <v>3138</v>
      </c>
      <c r="D105">
        <v>15</v>
      </c>
      <c r="E105" s="55" t="s">
        <v>22</v>
      </c>
      <c r="F105">
        <v>2014</v>
      </c>
      <c r="G105" t="s">
        <v>47</v>
      </c>
      <c r="H105" t="s">
        <v>3140</v>
      </c>
      <c r="J105">
        <v>17</v>
      </c>
      <c r="K105" t="s">
        <v>17</v>
      </c>
      <c r="L105">
        <v>2025</v>
      </c>
      <c r="M105" t="s">
        <v>1062</v>
      </c>
      <c r="N105" s="12" t="s">
        <v>3141</v>
      </c>
      <c r="O105" t="s">
        <v>2710</v>
      </c>
      <c r="P105" s="12" t="s">
        <v>52</v>
      </c>
      <c r="Q105" s="63">
        <v>752</v>
      </c>
      <c r="R105" s="38" t="str">
        <f t="shared" si="22"/>
        <v xml:space="preserve">TUTOR - BRENDA JUDITH GRIJALVA ORTEGA Y </v>
      </c>
      <c r="S105" s="38" t="str">
        <f t="shared" si="23"/>
        <v>15 NOVIEMBRE DE 2014</v>
      </c>
      <c r="T105" s="38" t="str">
        <f t="shared" si="24"/>
        <v>17 MAYO DE 2025</v>
      </c>
      <c r="U105">
        <v>2</v>
      </c>
      <c r="V105" s="63">
        <v>246</v>
      </c>
      <c r="W105">
        <v>491</v>
      </c>
    </row>
    <row r="106" spans="1:23">
      <c r="A106" s="38">
        <v>97</v>
      </c>
      <c r="B106" s="24" t="s">
        <v>2814</v>
      </c>
      <c r="D106">
        <v>18</v>
      </c>
      <c r="E106" s="55" t="s">
        <v>21</v>
      </c>
      <c r="F106">
        <v>2012</v>
      </c>
      <c r="G106" t="s">
        <v>47</v>
      </c>
      <c r="H106" t="s">
        <v>2815</v>
      </c>
      <c r="J106">
        <v>18</v>
      </c>
      <c r="K106" t="s">
        <v>21</v>
      </c>
      <c r="L106">
        <v>2013</v>
      </c>
      <c r="M106" t="s">
        <v>1062</v>
      </c>
      <c r="N106" t="s">
        <v>3139</v>
      </c>
      <c r="O106" t="s">
        <v>2816</v>
      </c>
      <c r="P106" s="12" t="s">
        <v>52</v>
      </c>
      <c r="Q106" s="63">
        <v>113</v>
      </c>
      <c r="R106" s="38" t="str">
        <f t="shared" si="22"/>
        <v xml:space="preserve">NADIA MELANIA CORRAL VEGA Y </v>
      </c>
      <c r="S106" s="38" t="str">
        <f t="shared" si="23"/>
        <v>18 OCTUBRE DE 2012</v>
      </c>
      <c r="T106" s="38" t="str">
        <f t="shared" si="24"/>
        <v>18 OCTUBRE DE 2013</v>
      </c>
      <c r="U106">
        <v>2</v>
      </c>
      <c r="V106" s="63">
        <v>246</v>
      </c>
      <c r="W106">
        <v>492</v>
      </c>
    </row>
    <row r="107" spans="1:23">
      <c r="A107" s="38">
        <v>98</v>
      </c>
      <c r="B107" s="24" t="s">
        <v>2845</v>
      </c>
      <c r="D107">
        <v>28</v>
      </c>
      <c r="E107" s="55" t="s">
        <v>13</v>
      </c>
      <c r="F107">
        <v>2015</v>
      </c>
      <c r="G107" t="s">
        <v>47</v>
      </c>
      <c r="H107" t="s">
        <v>2846</v>
      </c>
      <c r="I107" t="s">
        <v>2847</v>
      </c>
      <c r="J107">
        <v>23</v>
      </c>
      <c r="K107" t="s">
        <v>17</v>
      </c>
      <c r="L107">
        <v>2025</v>
      </c>
      <c r="M107" t="s">
        <v>1062</v>
      </c>
      <c r="N107" t="s">
        <v>2848</v>
      </c>
      <c r="O107" t="s">
        <v>2849</v>
      </c>
      <c r="P107" s="12" t="s">
        <v>52</v>
      </c>
      <c r="Q107" s="63">
        <v>509</v>
      </c>
      <c r="R107" s="38" t="str">
        <f t="shared" si="22"/>
        <v xml:space="preserve">ARTURO JACOME ROBLES Y ERIKA MARTINEZ CALERA </v>
      </c>
      <c r="S107" s="38" t="str">
        <f t="shared" si="23"/>
        <v>28 ENERO DE 2015</v>
      </c>
      <c r="T107" s="38" t="str">
        <f t="shared" si="24"/>
        <v>23 MAYO DE 2025</v>
      </c>
      <c r="U107">
        <v>2</v>
      </c>
      <c r="V107" s="63">
        <v>247</v>
      </c>
      <c r="W107">
        <v>493</v>
      </c>
    </row>
    <row r="108" spans="1:23">
      <c r="A108" s="38">
        <v>99</v>
      </c>
      <c r="B108" s="24" t="s">
        <v>2927</v>
      </c>
      <c r="D108">
        <v>22</v>
      </c>
      <c r="E108" s="55" t="s">
        <v>15</v>
      </c>
      <c r="F108">
        <v>2020</v>
      </c>
      <c r="G108" t="s">
        <v>47</v>
      </c>
      <c r="H108" t="s">
        <v>208</v>
      </c>
      <c r="I108" t="s">
        <v>210</v>
      </c>
      <c r="J108">
        <v>17</v>
      </c>
      <c r="K108" t="s">
        <v>17</v>
      </c>
      <c r="L108">
        <v>2025</v>
      </c>
      <c r="M108" t="s">
        <v>1062</v>
      </c>
      <c r="N108" t="s">
        <v>211</v>
      </c>
      <c r="O108" t="s">
        <v>2928</v>
      </c>
      <c r="P108" s="12" t="s">
        <v>52</v>
      </c>
      <c r="Q108" s="63">
        <v>468</v>
      </c>
      <c r="R108" s="38" t="str">
        <f t="shared" si="22"/>
        <v>CHRISTIAN TORRECILLAS GARZA Y BRISENA ACEDO LOPEZ</v>
      </c>
      <c r="S108" s="38" t="str">
        <f t="shared" si="23"/>
        <v>22 MARZO DE 2020</v>
      </c>
      <c r="T108" s="38" t="str">
        <f t="shared" si="24"/>
        <v>17 MAYO DE 2025</v>
      </c>
      <c r="U108">
        <v>2</v>
      </c>
      <c r="V108" s="63">
        <v>247</v>
      </c>
      <c r="W108">
        <v>494</v>
      </c>
    </row>
    <row r="109" spans="1:23">
      <c r="A109" s="38">
        <v>100</v>
      </c>
      <c r="B109" s="24" t="s">
        <v>3133</v>
      </c>
      <c r="D109">
        <v>23</v>
      </c>
      <c r="E109" s="55" t="s">
        <v>21</v>
      </c>
      <c r="F109">
        <v>2024</v>
      </c>
      <c r="G109" t="s">
        <v>47</v>
      </c>
      <c r="H109" t="s">
        <v>3134</v>
      </c>
      <c r="I109" t="s">
        <v>3135</v>
      </c>
      <c r="J109">
        <v>24</v>
      </c>
      <c r="K109" t="s">
        <v>17</v>
      </c>
      <c r="L109">
        <v>2025</v>
      </c>
      <c r="M109" t="s">
        <v>1062</v>
      </c>
      <c r="N109" t="s">
        <v>3136</v>
      </c>
      <c r="O109" t="s">
        <v>3137</v>
      </c>
      <c r="P109" s="12" t="s">
        <v>52</v>
      </c>
      <c r="Q109" s="63">
        <v>1799</v>
      </c>
      <c r="R109" s="38" t="str">
        <f t="shared" si="22"/>
        <v>FERNANDO COARRALES SALAZAR Y ANA MARIA BOGUE BARRON</v>
      </c>
      <c r="S109" s="38" t="str">
        <f t="shared" si="23"/>
        <v>23 OCTUBRE DE 2024</v>
      </c>
      <c r="T109" s="38" t="str">
        <f t="shared" si="24"/>
        <v>24 MAYO DE 2025</v>
      </c>
      <c r="U109">
        <v>2</v>
      </c>
      <c r="V109" s="63">
        <v>248</v>
      </c>
      <c r="W109">
        <v>495</v>
      </c>
    </row>
    <row r="110" spans="1:23">
      <c r="A110" s="86">
        <v>101</v>
      </c>
      <c r="B110" s="24" t="s">
        <v>3189</v>
      </c>
      <c r="D110">
        <v>7</v>
      </c>
      <c r="E110" s="55" t="s">
        <v>18</v>
      </c>
      <c r="F110">
        <v>2023</v>
      </c>
      <c r="G110" t="s">
        <v>47</v>
      </c>
      <c r="H110" t="s">
        <v>3190</v>
      </c>
      <c r="I110" t="s">
        <v>3191</v>
      </c>
      <c r="J110">
        <v>7</v>
      </c>
      <c r="K110" s="55" t="s">
        <v>18</v>
      </c>
      <c r="L110">
        <v>2025</v>
      </c>
      <c r="M110" t="s">
        <v>1062</v>
      </c>
      <c r="N110" t="s">
        <v>3193</v>
      </c>
      <c r="O110" t="s">
        <v>3192</v>
      </c>
      <c r="P110" s="12" t="s">
        <v>52</v>
      </c>
      <c r="Q110" s="63">
        <v>1277</v>
      </c>
      <c r="R110" s="38" t="str">
        <f t="shared" ref="R110:R111" si="25">H110&amp;" Y "&amp;I110</f>
        <v>FRANCISCO JAVIER DELGADILLO HERNANDEZ Y DIANA PHOEBE MARIÑEZ RENTERIA</v>
      </c>
      <c r="S110" s="38" t="str">
        <f t="shared" ref="S110:S111" si="26">D110&amp;" "&amp;E110&amp;" DE "&amp;F110</f>
        <v>7 JUNIO DE 2023</v>
      </c>
      <c r="T110" s="38" t="str">
        <f t="shared" ref="T110:T111" si="27">J110&amp;" "&amp;K110&amp;" DE "&amp;L110</f>
        <v>7 JUNIO DE 2025</v>
      </c>
      <c r="U110" s="85">
        <v>2</v>
      </c>
      <c r="V110" s="63">
        <v>248</v>
      </c>
      <c r="W110" s="85">
        <v>496</v>
      </c>
    </row>
    <row r="111" spans="1:23">
      <c r="A111" s="86">
        <v>102</v>
      </c>
      <c r="B111" s="24" t="s">
        <v>3305</v>
      </c>
      <c r="D111">
        <v>4</v>
      </c>
      <c r="E111" s="55" t="s">
        <v>21</v>
      </c>
      <c r="F111">
        <v>2022</v>
      </c>
      <c r="G111" t="s">
        <v>47</v>
      </c>
      <c r="H111" t="s">
        <v>3306</v>
      </c>
      <c r="I111" t="s">
        <v>3307</v>
      </c>
      <c r="J111">
        <v>7</v>
      </c>
      <c r="K111" s="55" t="s">
        <v>18</v>
      </c>
      <c r="L111">
        <v>2025</v>
      </c>
      <c r="M111" t="s">
        <v>1062</v>
      </c>
      <c r="N111" t="s">
        <v>3308</v>
      </c>
      <c r="O111" t="s">
        <v>3309</v>
      </c>
      <c r="P111" s="12" t="s">
        <v>52</v>
      </c>
      <c r="Q111" s="63">
        <v>3354</v>
      </c>
      <c r="R111" s="38" t="str">
        <f t="shared" si="25"/>
        <v>MIGUEL EMILIANO FLORES VALDEZ Y KENIA GUADALUPE VEGA VEGA</v>
      </c>
      <c r="S111" s="38" t="str">
        <f t="shared" si="26"/>
        <v>4 OCTUBRE DE 2022</v>
      </c>
      <c r="T111" s="38" t="str">
        <f t="shared" si="27"/>
        <v>7 JUNIO DE 2025</v>
      </c>
      <c r="U111" s="85">
        <v>2</v>
      </c>
      <c r="V111" s="63">
        <v>249</v>
      </c>
      <c r="W111" s="85">
        <v>497</v>
      </c>
    </row>
    <row r="112" spans="1:23">
      <c r="A112" s="38">
        <v>103</v>
      </c>
      <c r="B112" s="24" t="s">
        <v>3554</v>
      </c>
      <c r="D112">
        <v>2</v>
      </c>
      <c r="E112" s="55" t="s">
        <v>19</v>
      </c>
      <c r="F112">
        <v>2023</v>
      </c>
      <c r="G112" t="s">
        <v>47</v>
      </c>
      <c r="H112" t="s">
        <v>3555</v>
      </c>
      <c r="I112" t="s">
        <v>3556</v>
      </c>
      <c r="J112">
        <v>28</v>
      </c>
      <c r="K112" t="s">
        <v>18</v>
      </c>
      <c r="L112">
        <v>2025</v>
      </c>
      <c r="M112" t="s">
        <v>1062</v>
      </c>
      <c r="N112" t="s">
        <v>3558</v>
      </c>
      <c r="O112" t="s">
        <v>3557</v>
      </c>
      <c r="P112" s="12" t="s">
        <v>52</v>
      </c>
      <c r="Q112" s="63">
        <v>855</v>
      </c>
      <c r="R112" s="38" t="str">
        <f t="shared" si="22"/>
        <v>FAUSTO FRANCISCO GARCIA BRAY Y ROXANA MARISOL HERRERA ENRIQUEZ</v>
      </c>
      <c r="S112" s="38" t="str">
        <f t="shared" si="23"/>
        <v>2 JULIO DE 2023</v>
      </c>
      <c r="T112" s="38" t="str">
        <f t="shared" si="24"/>
        <v>28 JUNIO DE 2025</v>
      </c>
      <c r="U112">
        <v>2</v>
      </c>
      <c r="V112" s="63">
        <v>249</v>
      </c>
      <c r="W112">
        <v>498</v>
      </c>
    </row>
    <row r="113" spans="1:23">
      <c r="A113" s="38">
        <v>104</v>
      </c>
      <c r="B113" s="24" t="s">
        <v>3559</v>
      </c>
      <c r="D113">
        <v>28</v>
      </c>
      <c r="E113" s="55" t="s">
        <v>19</v>
      </c>
      <c r="F113">
        <v>2023</v>
      </c>
      <c r="G113" t="s">
        <v>3570</v>
      </c>
      <c r="H113" t="s">
        <v>3560</v>
      </c>
      <c r="J113">
        <v>1</v>
      </c>
      <c r="K113" t="s">
        <v>19</v>
      </c>
      <c r="L113">
        <v>2025</v>
      </c>
      <c r="M113" t="s">
        <v>1062</v>
      </c>
      <c r="N113" t="s">
        <v>3571</v>
      </c>
      <c r="O113" t="s">
        <v>3572</v>
      </c>
      <c r="P113" s="12" t="s">
        <v>52</v>
      </c>
      <c r="Q113" s="63">
        <v>3342</v>
      </c>
      <c r="R113" s="38" t="e">
        <f>#REF!&amp;" Y "&amp;H113</f>
        <v>#REF!</v>
      </c>
      <c r="S113" s="38" t="str">
        <f t="shared" si="23"/>
        <v>28 JULIO DE 2023</v>
      </c>
      <c r="T113" s="38" t="str">
        <f t="shared" si="24"/>
        <v>1 JULIO DE 2025</v>
      </c>
      <c r="U113">
        <v>2</v>
      </c>
      <c r="V113" s="63">
        <v>250</v>
      </c>
      <c r="W113">
        <v>499</v>
      </c>
    </row>
    <row r="114" spans="1:23">
      <c r="A114" s="38">
        <v>105</v>
      </c>
      <c r="B114" s="24" t="s">
        <v>3565</v>
      </c>
      <c r="D114">
        <v>25</v>
      </c>
      <c r="E114" s="55" t="s">
        <v>22</v>
      </c>
      <c r="F114">
        <v>2018</v>
      </c>
      <c r="G114" t="s">
        <v>3566</v>
      </c>
      <c r="H114" t="s">
        <v>3567</v>
      </c>
      <c r="I114" t="s">
        <v>3568</v>
      </c>
      <c r="J114">
        <v>20</v>
      </c>
      <c r="K114" t="s">
        <v>19</v>
      </c>
      <c r="L114">
        <v>2025</v>
      </c>
      <c r="M114" t="s">
        <v>1062</v>
      </c>
      <c r="N114" t="s">
        <v>3569</v>
      </c>
      <c r="P114" s="12" t="s">
        <v>52</v>
      </c>
      <c r="Q114" s="63">
        <v>1623</v>
      </c>
      <c r="R114" s="38" t="str">
        <f t="shared" si="22"/>
        <v xml:space="preserve">FRANCISCO JAVIER FELIX BUSTAMANTE Y KRISTAL OMARA OTERO LOPEZ </v>
      </c>
      <c r="S114" s="38" t="str">
        <f t="shared" si="23"/>
        <v>25 NOVIEMBRE DE 2018</v>
      </c>
      <c r="T114" s="38" t="str">
        <f t="shared" si="24"/>
        <v>20 JULIO DE 2025</v>
      </c>
      <c r="U114">
        <v>2</v>
      </c>
      <c r="V114" s="63">
        <v>250</v>
      </c>
      <c r="W114">
        <v>500</v>
      </c>
    </row>
    <row r="115" spans="1:23">
      <c r="A115" s="38">
        <v>106</v>
      </c>
      <c r="B115" s="24" t="s">
        <v>3586</v>
      </c>
      <c r="D115">
        <v>7</v>
      </c>
      <c r="E115" s="55" t="s">
        <v>20</v>
      </c>
      <c r="F115">
        <v>2024</v>
      </c>
      <c r="G115" t="s">
        <v>47</v>
      </c>
      <c r="H115" t="s">
        <v>3587</v>
      </c>
      <c r="I115" t="s">
        <v>3588</v>
      </c>
      <c r="J115">
        <v>6</v>
      </c>
      <c r="K115" t="s">
        <v>20</v>
      </c>
      <c r="L115">
        <v>2025</v>
      </c>
      <c r="M115" t="s">
        <v>1062</v>
      </c>
      <c r="N115" t="s">
        <v>3589</v>
      </c>
      <c r="O115" t="s">
        <v>3590</v>
      </c>
      <c r="P115" s="12" t="s">
        <v>52</v>
      </c>
      <c r="Q115" s="63">
        <v>2643</v>
      </c>
      <c r="R115" s="38" t="str">
        <f>H115&amp;" Y "&amp;I115</f>
        <v>BLADIMIR ALEJANDRO NUÑEZ GATTAZ Y MARIANE ANGELIKA GONZALEZ GAMBA</v>
      </c>
      <c r="S115" s="38" t="str">
        <f>D115&amp;" "&amp;E115&amp;" DE "&amp;F115</f>
        <v>7 AGOSTO DE 2024</v>
      </c>
      <c r="T115" s="38" t="str">
        <f>J115&amp;" "&amp;K115&amp;" DE "&amp;L115</f>
        <v>6 AGOSTO DE 2025</v>
      </c>
      <c r="U115">
        <v>2</v>
      </c>
      <c r="V115" s="63">
        <v>251</v>
      </c>
      <c r="W115">
        <v>501</v>
      </c>
    </row>
    <row r="116" spans="1:23">
      <c r="A116" s="38">
        <v>107</v>
      </c>
      <c r="B116" s="24" t="s">
        <v>3597</v>
      </c>
      <c r="D116">
        <v>10</v>
      </c>
      <c r="E116" s="55" t="s">
        <v>20</v>
      </c>
      <c r="F116">
        <v>2024</v>
      </c>
      <c r="G116" t="s">
        <v>47</v>
      </c>
      <c r="H116" t="s">
        <v>3582</v>
      </c>
      <c r="I116" t="s">
        <v>3583</v>
      </c>
      <c r="J116">
        <v>9</v>
      </c>
      <c r="K116" t="s">
        <v>20</v>
      </c>
      <c r="L116">
        <v>2025</v>
      </c>
      <c r="M116" t="s">
        <v>1062</v>
      </c>
      <c r="N116" t="s">
        <v>3584</v>
      </c>
      <c r="O116" t="s">
        <v>3585</v>
      </c>
      <c r="P116" s="12" t="s">
        <v>52</v>
      </c>
      <c r="Q116" s="63">
        <v>2482</v>
      </c>
      <c r="R116" s="38" t="str">
        <f t="shared" si="22"/>
        <v>PEDRO ANDRES ESQUER LAGARDA Y DIANA VERONICA ANGULO GARCIA</v>
      </c>
      <c r="S116" s="38" t="str">
        <f t="shared" si="23"/>
        <v>10 AGOSTO DE 2024</v>
      </c>
      <c r="T116" s="38" t="str">
        <f t="shared" si="24"/>
        <v>9 AGOSTO DE 2025</v>
      </c>
      <c r="U116">
        <v>2</v>
      </c>
      <c r="V116" s="63">
        <v>251</v>
      </c>
      <c r="W116">
        <v>502</v>
      </c>
    </row>
    <row r="117" spans="1:23">
      <c r="A117" s="38">
        <v>108</v>
      </c>
      <c r="B117" s="24" t="s">
        <v>3577</v>
      </c>
      <c r="D117">
        <v>13</v>
      </c>
      <c r="E117" s="55" t="s">
        <v>20</v>
      </c>
      <c r="F117">
        <v>2024</v>
      </c>
      <c r="G117" t="s">
        <v>47</v>
      </c>
      <c r="H117" t="s">
        <v>3578</v>
      </c>
      <c r="I117" t="s">
        <v>3579</v>
      </c>
      <c r="J117">
        <v>9</v>
      </c>
      <c r="K117" t="s">
        <v>20</v>
      </c>
      <c r="L117">
        <v>2025</v>
      </c>
      <c r="M117" t="s">
        <v>1062</v>
      </c>
      <c r="N117" t="s">
        <v>3580</v>
      </c>
      <c r="O117" t="s">
        <v>3581</v>
      </c>
      <c r="P117" s="12" t="s">
        <v>52</v>
      </c>
      <c r="Q117" s="63">
        <v>1932</v>
      </c>
      <c r="R117" s="38" t="str">
        <f>H117&amp;" Y "&amp;I117</f>
        <v>CRISTOBAL JOEL GONZALEZ PEREZ Y DEYANIRA FIMBRES GARCIA</v>
      </c>
      <c r="S117" s="38" t="str">
        <f>D117&amp;" "&amp;E117&amp;" DE "&amp;F117</f>
        <v>13 AGOSTO DE 2024</v>
      </c>
      <c r="T117" s="38" t="str">
        <f>J117&amp;" "&amp;K117&amp;" DE "&amp;L117</f>
        <v>9 AGOSTO DE 2025</v>
      </c>
      <c r="U117">
        <v>2</v>
      </c>
      <c r="V117" s="63">
        <v>252</v>
      </c>
      <c r="W117">
        <v>503</v>
      </c>
    </row>
    <row r="118" spans="1:23">
      <c r="A118" s="38">
        <v>109</v>
      </c>
      <c r="B118" s="24" t="s">
        <v>3591</v>
      </c>
      <c r="D118">
        <v>12</v>
      </c>
      <c r="E118" s="55" t="s">
        <v>3592</v>
      </c>
      <c r="F118">
        <v>2024</v>
      </c>
      <c r="G118" t="s">
        <v>47</v>
      </c>
      <c r="H118" t="s">
        <v>3593</v>
      </c>
      <c r="I118" t="s">
        <v>3594</v>
      </c>
      <c r="J118">
        <v>16</v>
      </c>
      <c r="K118" t="s">
        <v>20</v>
      </c>
      <c r="L118">
        <v>2025</v>
      </c>
      <c r="M118" t="s">
        <v>1062</v>
      </c>
      <c r="N118" t="s">
        <v>3595</v>
      </c>
      <c r="O118" t="s">
        <v>3596</v>
      </c>
      <c r="P118" s="12" t="s">
        <v>52</v>
      </c>
      <c r="Q118" s="63">
        <v>2024</v>
      </c>
      <c r="R118" s="38" t="str">
        <f t="shared" si="22"/>
        <v xml:space="preserve">MARCO ANTONIO ROBLES FAVA Y ERIKA MICHELLE RAMIREZ LOPEZ </v>
      </c>
      <c r="S118" s="38" t="str">
        <f t="shared" si="23"/>
        <v>12 AGOSTO  DE 2024</v>
      </c>
      <c r="T118" s="38" t="str">
        <f t="shared" si="24"/>
        <v>16 AGOSTO DE 2025</v>
      </c>
      <c r="U118">
        <v>2</v>
      </c>
      <c r="V118" s="63">
        <v>252</v>
      </c>
      <c r="W118">
        <v>504</v>
      </c>
    </row>
    <row r="119" spans="1:23">
      <c r="A119" s="38">
        <v>110</v>
      </c>
      <c r="B119" s="24" t="s">
        <v>3598</v>
      </c>
      <c r="D119">
        <v>16</v>
      </c>
      <c r="E119" s="55" t="s">
        <v>20</v>
      </c>
      <c r="F119">
        <v>2024</v>
      </c>
      <c r="G119" t="s">
        <v>47</v>
      </c>
      <c r="H119" t="s">
        <v>3600</v>
      </c>
      <c r="I119" t="s">
        <v>3599</v>
      </c>
      <c r="J119">
        <v>16</v>
      </c>
      <c r="K119" t="s">
        <v>20</v>
      </c>
      <c r="L119">
        <v>2025</v>
      </c>
      <c r="M119" t="s">
        <v>1062</v>
      </c>
      <c r="N119" t="s">
        <v>3601</v>
      </c>
      <c r="O119" t="s">
        <v>3602</v>
      </c>
      <c r="P119" s="12" t="s">
        <v>52</v>
      </c>
      <c r="Q119" s="63">
        <v>1857</v>
      </c>
      <c r="R119" s="38" t="str">
        <f t="shared" si="22"/>
        <v>DANIEL GERARDO MORENO PEREZ Y LILIA KASSANDRA LOPEZ MENDEZ</v>
      </c>
      <c r="S119" s="38" t="str">
        <f t="shared" si="23"/>
        <v>16 AGOSTO DE 2024</v>
      </c>
      <c r="T119" s="38" t="str">
        <f t="shared" si="24"/>
        <v>16 AGOSTO DE 2025</v>
      </c>
      <c r="U119">
        <v>2</v>
      </c>
      <c r="V119" s="63">
        <v>253</v>
      </c>
      <c r="W119">
        <v>505</v>
      </c>
    </row>
    <row r="120" spans="1:23">
      <c r="A120" s="38">
        <v>111</v>
      </c>
      <c r="B120" s="24" t="s">
        <v>3603</v>
      </c>
      <c r="D120">
        <v>21</v>
      </c>
      <c r="E120" s="55" t="s">
        <v>20</v>
      </c>
      <c r="F120">
        <v>2024</v>
      </c>
      <c r="G120" t="s">
        <v>47</v>
      </c>
      <c r="H120" t="s">
        <v>3604</v>
      </c>
      <c r="I120" t="s">
        <v>3605</v>
      </c>
      <c r="J120">
        <v>23</v>
      </c>
      <c r="K120" t="s">
        <v>20</v>
      </c>
      <c r="L120">
        <v>2025</v>
      </c>
      <c r="M120" t="s">
        <v>1062</v>
      </c>
      <c r="N120" t="s">
        <v>3606</v>
      </c>
      <c r="O120" t="s">
        <v>3607</v>
      </c>
      <c r="P120" s="12" t="s">
        <v>52</v>
      </c>
      <c r="Q120" s="63">
        <v>1374</v>
      </c>
      <c r="R120" s="38" t="str">
        <f t="shared" si="22"/>
        <v>ORFIL EDUARDO GONZALEZ ABRIL Y CINTHYA JANET TEJADA GALVEZ</v>
      </c>
      <c r="S120" s="38" t="str">
        <f t="shared" si="23"/>
        <v>21 AGOSTO DE 2024</v>
      </c>
      <c r="T120" s="38" t="str">
        <f t="shared" si="24"/>
        <v>23 AGOSTO DE 2025</v>
      </c>
      <c r="U120">
        <v>2</v>
      </c>
      <c r="V120" s="63">
        <v>253</v>
      </c>
      <c r="W120">
        <v>506</v>
      </c>
    </row>
    <row r="121" spans="1:23">
      <c r="A121" s="38">
        <v>112</v>
      </c>
      <c r="B121" s="24" t="s">
        <v>3608</v>
      </c>
      <c r="D121">
        <v>22</v>
      </c>
      <c r="E121" s="55" t="s">
        <v>3592</v>
      </c>
      <c r="F121">
        <v>2024</v>
      </c>
      <c r="G121" t="s">
        <v>47</v>
      </c>
      <c r="H121" t="s">
        <v>3609</v>
      </c>
      <c r="I121" t="s">
        <v>3610</v>
      </c>
      <c r="J121">
        <v>24</v>
      </c>
      <c r="K121" t="s">
        <v>20</v>
      </c>
      <c r="L121">
        <v>2025</v>
      </c>
      <c r="M121" t="s">
        <v>1062</v>
      </c>
      <c r="N121" t="s">
        <v>3611</v>
      </c>
      <c r="O121" t="s">
        <v>3612</v>
      </c>
      <c r="P121" s="12" t="s">
        <v>52</v>
      </c>
      <c r="Q121" s="63">
        <v>1934</v>
      </c>
      <c r="R121" s="38" t="str">
        <f t="shared" si="22"/>
        <v>FRANCISCO RAMIREZ CALVO Y AURORA ORTEGA ORTIZ</v>
      </c>
      <c r="S121" s="38" t="str">
        <f t="shared" si="23"/>
        <v>22 AGOSTO  DE 2024</v>
      </c>
      <c r="T121" s="38" t="str">
        <f t="shared" si="24"/>
        <v>24 AGOSTO DE 2025</v>
      </c>
      <c r="U121">
        <v>2</v>
      </c>
      <c r="V121" s="63">
        <v>254</v>
      </c>
      <c r="W121">
        <v>507</v>
      </c>
    </row>
    <row r="122" spans="1:23">
      <c r="A122" s="38">
        <v>113</v>
      </c>
      <c r="B122" s="24" t="s">
        <v>3614</v>
      </c>
      <c r="D122">
        <v>29</v>
      </c>
      <c r="E122" s="55" t="s">
        <v>1145</v>
      </c>
      <c r="F122">
        <v>2023</v>
      </c>
      <c r="G122" t="s">
        <v>47</v>
      </c>
      <c r="H122" t="s">
        <v>3618</v>
      </c>
      <c r="I122" t="s">
        <v>3615</v>
      </c>
      <c r="J122">
        <v>27</v>
      </c>
      <c r="K122" t="s">
        <v>1145</v>
      </c>
      <c r="L122">
        <v>2025</v>
      </c>
      <c r="M122" t="s">
        <v>1062</v>
      </c>
      <c r="N122" t="s">
        <v>3616</v>
      </c>
      <c r="O122" t="s">
        <v>3617</v>
      </c>
      <c r="P122" s="12" t="s">
        <v>52</v>
      </c>
      <c r="Q122" s="63">
        <v>2763</v>
      </c>
      <c r="R122" s="38" t="str">
        <f t="shared" si="22"/>
        <v>JOSE GUADALUPE GARCIA MORENO Y MELANIE ANADAHLAY PERALTA OLIVAS</v>
      </c>
      <c r="S122" s="38" t="str">
        <f t="shared" si="23"/>
        <v>29 SEPTIEMBRE DE 2023</v>
      </c>
      <c r="T122" s="38" t="str">
        <f t="shared" si="24"/>
        <v>27 SEPTIEMBRE DE 2025</v>
      </c>
      <c r="U122">
        <v>2</v>
      </c>
      <c r="V122" s="63">
        <v>254</v>
      </c>
      <c r="W122">
        <v>508</v>
      </c>
    </row>
    <row r="123" spans="1:23">
      <c r="A123" s="38">
        <v>114</v>
      </c>
      <c r="B123" s="24" t="s">
        <v>3625</v>
      </c>
      <c r="D123">
        <v>26</v>
      </c>
      <c r="E123" s="55" t="s">
        <v>19</v>
      </c>
      <c r="F123">
        <v>2024</v>
      </c>
      <c r="G123" t="s">
        <v>47</v>
      </c>
      <c r="H123" t="s">
        <v>3626</v>
      </c>
      <c r="I123" t="s">
        <v>3627</v>
      </c>
      <c r="J123">
        <v>4</v>
      </c>
      <c r="K123" t="s">
        <v>21</v>
      </c>
      <c r="L123">
        <v>2025</v>
      </c>
      <c r="M123" t="s">
        <v>1062</v>
      </c>
      <c r="N123" t="s">
        <v>3628</v>
      </c>
      <c r="O123" t="s">
        <v>3629</v>
      </c>
      <c r="P123" s="12" t="s">
        <v>52</v>
      </c>
      <c r="Q123" s="63">
        <v>1864</v>
      </c>
      <c r="R123" s="38" t="str">
        <f t="shared" ref="R123:R124" si="28">H123&amp;" Y "&amp;I123</f>
        <v>JAIME FUENTES LOPEZ CUELLAR Y ALEJANDRA SALIDO DOMINGUEZ</v>
      </c>
      <c r="S123" s="38" t="str">
        <f t="shared" ref="S123:S124" si="29">D123&amp;" "&amp;E123&amp;" DE "&amp;F123</f>
        <v>26 JULIO DE 2024</v>
      </c>
      <c r="T123" s="38" t="str">
        <f t="shared" ref="T123:T124" si="30">J123&amp;" "&amp;K123&amp;" DE "&amp;L123</f>
        <v>4 OCTUBRE DE 2025</v>
      </c>
      <c r="U123">
        <v>2</v>
      </c>
      <c r="V123" s="63">
        <v>255</v>
      </c>
      <c r="W123">
        <v>509</v>
      </c>
    </row>
    <row r="124" spans="1:23">
      <c r="A124" s="38">
        <v>115</v>
      </c>
      <c r="B124" s="24" t="s">
        <v>3630</v>
      </c>
      <c r="D124">
        <v>25</v>
      </c>
      <c r="E124" s="55" t="s">
        <v>20</v>
      </c>
      <c r="F124">
        <v>2025</v>
      </c>
      <c r="G124" t="s">
        <v>47</v>
      </c>
      <c r="H124" t="s">
        <v>3631</v>
      </c>
      <c r="I124" t="s">
        <v>3632</v>
      </c>
      <c r="J124">
        <v>4</v>
      </c>
      <c r="K124" t="s">
        <v>21</v>
      </c>
      <c r="L124">
        <v>2025</v>
      </c>
      <c r="M124" t="s">
        <v>1062</v>
      </c>
      <c r="N124" t="s">
        <v>3633</v>
      </c>
      <c r="O124" t="s">
        <v>3634</v>
      </c>
      <c r="P124" s="12" t="s">
        <v>52</v>
      </c>
      <c r="Q124" s="63">
        <v>2122</v>
      </c>
      <c r="R124" s="38" t="str">
        <f t="shared" si="28"/>
        <v>FRANCISCO ALAN ENRIQUEZ OCHOA Y IDANIA CAROLINA ENCINAS BRACAMONTES</v>
      </c>
      <c r="S124" s="38" t="str">
        <f t="shared" si="29"/>
        <v>25 AGOSTO DE 2025</v>
      </c>
      <c r="T124" s="38" t="str">
        <f t="shared" si="30"/>
        <v>4 OCTUBRE DE 2025</v>
      </c>
      <c r="U124">
        <v>2</v>
      </c>
      <c r="V124" s="63">
        <v>255</v>
      </c>
      <c r="W124">
        <v>510</v>
      </c>
    </row>
    <row r="125" spans="1:23">
      <c r="A125" s="38">
        <v>116</v>
      </c>
      <c r="B125" s="24" t="s">
        <v>3619</v>
      </c>
      <c r="D125">
        <v>1</v>
      </c>
      <c r="E125" s="55" t="s">
        <v>3620</v>
      </c>
      <c r="F125">
        <v>2024</v>
      </c>
      <c r="G125" t="s">
        <v>47</v>
      </c>
      <c r="H125" t="s">
        <v>3621</v>
      </c>
      <c r="I125" t="s">
        <v>3622</v>
      </c>
      <c r="J125">
        <v>5</v>
      </c>
      <c r="K125" t="s">
        <v>21</v>
      </c>
      <c r="L125">
        <v>2025</v>
      </c>
      <c r="M125" t="s">
        <v>1062</v>
      </c>
      <c r="N125" t="s">
        <v>3623</v>
      </c>
      <c r="O125" t="s">
        <v>3624</v>
      </c>
      <c r="P125" s="12" t="s">
        <v>52</v>
      </c>
      <c r="Q125" s="63">
        <v>2647</v>
      </c>
      <c r="R125" s="38" t="str">
        <f t="shared" si="22"/>
        <v xml:space="preserve">LUIS ALBERTO FIGUEROA Y YARELY ANTONIA VILLAESCUSA LOPEZ </v>
      </c>
      <c r="S125" s="38" t="str">
        <f t="shared" si="23"/>
        <v>1 OCTUBRER DE 2024</v>
      </c>
      <c r="T125" s="38" t="str">
        <f t="shared" si="24"/>
        <v>5 OCTUBRE DE 2025</v>
      </c>
      <c r="U125" s="63">
        <v>2</v>
      </c>
      <c r="V125" s="63">
        <v>256</v>
      </c>
      <c r="W125" s="63">
        <v>511</v>
      </c>
    </row>
    <row r="126" spans="1:23">
      <c r="A126" s="38">
        <v>117</v>
      </c>
      <c r="B126" s="24" t="s">
        <v>3635</v>
      </c>
      <c r="D126">
        <v>1</v>
      </c>
      <c r="E126" s="55" t="s">
        <v>1145</v>
      </c>
      <c r="F126">
        <v>2023</v>
      </c>
      <c r="G126" t="s">
        <v>3636</v>
      </c>
      <c r="H126" t="s">
        <v>3637</v>
      </c>
      <c r="I126" t="s">
        <v>3638</v>
      </c>
      <c r="J126">
        <v>12</v>
      </c>
      <c r="K126" t="s">
        <v>21</v>
      </c>
      <c r="L126">
        <v>2025</v>
      </c>
      <c r="M126" t="s">
        <v>1062</v>
      </c>
      <c r="N126" t="s">
        <v>3639</v>
      </c>
      <c r="O126" t="s">
        <v>3640</v>
      </c>
      <c r="P126" s="12" t="s">
        <v>52</v>
      </c>
      <c r="Q126" s="63">
        <v>51529</v>
      </c>
      <c r="R126" s="38" t="str">
        <f t="shared" si="22"/>
        <v>LUIS FERNANDO MORALES JIMENEZ Y GEOVANNA AGUILAR AGUILA LUGO</v>
      </c>
      <c r="S126" s="38" t="str">
        <f t="shared" si="23"/>
        <v>1 SEPTIEMBRE DE 2023</v>
      </c>
      <c r="T126" s="38" t="str">
        <f t="shared" si="24"/>
        <v>12 OCTUBRE DE 2025</v>
      </c>
      <c r="U126">
        <v>2</v>
      </c>
      <c r="V126" s="63">
        <v>256</v>
      </c>
      <c r="W126">
        <v>512</v>
      </c>
    </row>
    <row r="127" spans="1:23">
      <c r="A127" s="38">
        <v>118</v>
      </c>
      <c r="B127" s="24" t="s">
        <v>3641</v>
      </c>
      <c r="D127">
        <v>23</v>
      </c>
      <c r="E127" s="55" t="s">
        <v>13</v>
      </c>
      <c r="F127">
        <v>2025</v>
      </c>
      <c r="G127" t="s">
        <v>3636</v>
      </c>
      <c r="H127" t="s">
        <v>3637</v>
      </c>
      <c r="I127" t="s">
        <v>3638</v>
      </c>
      <c r="J127">
        <v>12</v>
      </c>
      <c r="K127" t="s">
        <v>21</v>
      </c>
      <c r="L127">
        <v>2025</v>
      </c>
      <c r="M127" t="s">
        <v>1062</v>
      </c>
      <c r="N127" t="s">
        <v>3642</v>
      </c>
      <c r="O127" t="s">
        <v>3643</v>
      </c>
      <c r="P127" s="12" t="s">
        <v>52</v>
      </c>
      <c r="Q127" s="63">
        <v>4286</v>
      </c>
      <c r="R127" s="38" t="str">
        <f t="shared" si="22"/>
        <v>LUIS FERNANDO MORALES JIMENEZ Y GEOVANNA AGUILAR AGUILA LUGO</v>
      </c>
      <c r="S127" s="38" t="str">
        <f t="shared" si="23"/>
        <v>23 ENERO DE 2025</v>
      </c>
      <c r="T127" s="38" t="str">
        <f t="shared" si="24"/>
        <v>12 OCTUBRE DE 2025</v>
      </c>
      <c r="U127">
        <v>2</v>
      </c>
      <c r="V127" s="63">
        <v>257</v>
      </c>
      <c r="W127">
        <v>513</v>
      </c>
    </row>
    <row r="128" spans="1:23">
      <c r="A128" s="38">
        <v>119</v>
      </c>
      <c r="B128" s="24" t="s">
        <v>3645</v>
      </c>
      <c r="D128">
        <v>6</v>
      </c>
      <c r="E128" s="55" t="s">
        <v>13</v>
      </c>
      <c r="F128">
        <v>2016</v>
      </c>
      <c r="G128" t="s">
        <v>47</v>
      </c>
      <c r="H128" t="s">
        <v>3646</v>
      </c>
      <c r="I128" t="s">
        <v>3647</v>
      </c>
      <c r="J128">
        <v>17</v>
      </c>
      <c r="K128" t="s">
        <v>21</v>
      </c>
      <c r="L128">
        <v>2025</v>
      </c>
      <c r="M128" t="s">
        <v>1062</v>
      </c>
      <c r="N128" t="s">
        <v>3648</v>
      </c>
      <c r="O128" t="s">
        <v>3649</v>
      </c>
      <c r="P128" s="12" t="s">
        <v>52</v>
      </c>
      <c r="Q128" s="63">
        <v>321</v>
      </c>
      <c r="R128" s="38" t="str">
        <f t="shared" si="22"/>
        <v>DAVID ALBERTO DURAN MARTINEZ Y ALICIA SOLEDAD PAZ RIOS</v>
      </c>
      <c r="S128" s="38" t="str">
        <f t="shared" si="23"/>
        <v>6 ENERO DE 2016</v>
      </c>
      <c r="T128" s="38" t="str">
        <f t="shared" si="24"/>
        <v>17 OCTUBRE DE 2025</v>
      </c>
      <c r="U128">
        <v>2</v>
      </c>
      <c r="V128" s="63">
        <v>257</v>
      </c>
      <c r="W128">
        <v>514</v>
      </c>
    </row>
    <row r="129" spans="1:23">
      <c r="A129" s="38">
        <v>120</v>
      </c>
      <c r="B129" s="24" t="s">
        <v>3650</v>
      </c>
      <c r="D129">
        <v>31</v>
      </c>
      <c r="E129" s="55" t="s">
        <v>21</v>
      </c>
      <c r="F129">
        <v>2024</v>
      </c>
      <c r="G129" t="s">
        <v>3636</v>
      </c>
      <c r="H129" t="s">
        <v>3651</v>
      </c>
      <c r="I129" t="s">
        <v>3652</v>
      </c>
      <c r="J129">
        <v>25</v>
      </c>
      <c r="K129" t="s">
        <v>21</v>
      </c>
      <c r="L129">
        <v>2025</v>
      </c>
      <c r="M129" t="s">
        <v>1062</v>
      </c>
      <c r="N129" t="s">
        <v>3653</v>
      </c>
      <c r="O129" t="s">
        <v>3654</v>
      </c>
      <c r="P129" s="12" t="s">
        <v>52</v>
      </c>
      <c r="Q129" s="63">
        <v>3085</v>
      </c>
      <c r="R129" s="38" t="str">
        <f t="shared" si="22"/>
        <v>FRANCISCO JAVIER MILLANES LERMA Y KIMBERLY PATRICIA TAMAYO CHAVEZ</v>
      </c>
      <c r="S129" s="38" t="str">
        <f t="shared" si="23"/>
        <v>31 OCTUBRE DE 2024</v>
      </c>
      <c r="T129" s="38" t="str">
        <f t="shared" si="24"/>
        <v>25 OCTUBRE DE 2025</v>
      </c>
      <c r="U129">
        <v>2</v>
      </c>
      <c r="V129" s="63">
        <v>258</v>
      </c>
      <c r="W129">
        <v>515</v>
      </c>
    </row>
    <row r="130" spans="1:23">
      <c r="A130" s="38">
        <v>121</v>
      </c>
      <c r="B130" s="24" t="s">
        <v>3655</v>
      </c>
      <c r="D130">
        <v>1</v>
      </c>
      <c r="E130" s="55" t="s">
        <v>22</v>
      </c>
      <c r="F130">
        <v>2024</v>
      </c>
      <c r="G130" t="s">
        <v>47</v>
      </c>
      <c r="H130" t="s">
        <v>1278</v>
      </c>
      <c r="I130" t="s">
        <v>1279</v>
      </c>
      <c r="J130">
        <v>1</v>
      </c>
      <c r="K130" t="s">
        <v>22</v>
      </c>
      <c r="L130">
        <v>2025</v>
      </c>
      <c r="M130" t="s">
        <v>1062</v>
      </c>
      <c r="N130" t="s">
        <v>1281</v>
      </c>
      <c r="P130" s="12" t="s">
        <v>52</v>
      </c>
      <c r="Q130" s="63">
        <v>1845</v>
      </c>
      <c r="R130" s="38" t="str">
        <f t="shared" ref="R130:R151" si="31">H130&amp;" Y "&amp;I130</f>
        <v>DORIAN VILLANUEVA MONROY Y ALEJANDRA RAMOS PLASCENCIA</v>
      </c>
      <c r="S130" s="38" t="str">
        <f t="shared" ref="S130:S151" si="32">D130&amp;" "&amp;E130&amp;" DE "&amp;F130</f>
        <v>1 NOVIEMBRE DE 2024</v>
      </c>
      <c r="T130" s="38" t="str">
        <f t="shared" ref="T130:T151" si="33">J130&amp;" "&amp;K130&amp;" DE "&amp;L130</f>
        <v>1 NOVIEMBRE DE 2025</v>
      </c>
      <c r="U130">
        <v>2</v>
      </c>
      <c r="V130" s="63">
        <v>258</v>
      </c>
      <c r="W130">
        <v>516</v>
      </c>
    </row>
    <row r="131" spans="1:23">
      <c r="A131" s="38">
        <v>122</v>
      </c>
      <c r="B131" s="24" t="s">
        <v>3656</v>
      </c>
      <c r="D131">
        <v>16</v>
      </c>
      <c r="E131" s="55" t="s">
        <v>22</v>
      </c>
      <c r="F131">
        <v>2017</v>
      </c>
      <c r="G131" t="s">
        <v>47</v>
      </c>
      <c r="H131" t="s">
        <v>3657</v>
      </c>
      <c r="I131" t="s">
        <v>3658</v>
      </c>
      <c r="J131">
        <v>22</v>
      </c>
      <c r="K131" t="s">
        <v>22</v>
      </c>
      <c r="L131">
        <v>2025</v>
      </c>
      <c r="M131" t="s">
        <v>1062</v>
      </c>
      <c r="N131" t="s">
        <v>589</v>
      </c>
      <c r="O131" t="s">
        <v>590</v>
      </c>
      <c r="P131" s="12" t="s">
        <v>52</v>
      </c>
      <c r="Q131" s="63">
        <v>2069</v>
      </c>
      <c r="R131" s="38" t="str">
        <f t="shared" si="31"/>
        <v>JESUS ENRIQUE GARCIA PEREZ Y ANA LIZBETH MARTINEZ RIVAS</v>
      </c>
      <c r="S131" s="38" t="str">
        <f t="shared" si="32"/>
        <v>16 NOVIEMBRE DE 2017</v>
      </c>
      <c r="T131" s="38" t="str">
        <f t="shared" si="33"/>
        <v>22 NOVIEMBRE DE 2025</v>
      </c>
      <c r="U131">
        <v>2</v>
      </c>
      <c r="V131" s="63">
        <v>259</v>
      </c>
      <c r="W131">
        <v>517</v>
      </c>
    </row>
    <row r="132" spans="1:23">
      <c r="A132" s="38">
        <v>123</v>
      </c>
      <c r="B132" s="24" t="s">
        <v>3659</v>
      </c>
      <c r="D132">
        <v>30</v>
      </c>
      <c r="E132" s="55" t="s">
        <v>22</v>
      </c>
      <c r="F132">
        <v>2024</v>
      </c>
      <c r="G132" t="s">
        <v>47</v>
      </c>
      <c r="H132" t="s">
        <v>3660</v>
      </c>
      <c r="I132" t="s">
        <v>3661</v>
      </c>
      <c r="J132">
        <v>30</v>
      </c>
      <c r="K132" t="s">
        <v>22</v>
      </c>
      <c r="L132">
        <v>2025</v>
      </c>
      <c r="M132" t="s">
        <v>1062</v>
      </c>
      <c r="N132" t="s">
        <v>3662</v>
      </c>
      <c r="O132" t="s">
        <v>3663</v>
      </c>
      <c r="P132" s="12" t="s">
        <v>52</v>
      </c>
      <c r="Q132" s="63">
        <v>1324</v>
      </c>
      <c r="R132" s="38" t="str">
        <f t="shared" si="31"/>
        <v>CARLOS ANTONIO SILVA FRAGOSO Y HILDA YUVITZIA TORRES ESPINOZA</v>
      </c>
      <c r="S132" s="38" t="str">
        <f t="shared" si="32"/>
        <v>30 NOVIEMBRE DE 2024</v>
      </c>
      <c r="T132" s="38" t="str">
        <f t="shared" si="33"/>
        <v>30 NOVIEMBRE DE 2025</v>
      </c>
      <c r="U132">
        <v>2</v>
      </c>
      <c r="V132" s="63">
        <v>259</v>
      </c>
      <c r="W132">
        <v>518</v>
      </c>
    </row>
    <row r="133" spans="1:23">
      <c r="A133" s="79">
        <v>124</v>
      </c>
      <c r="B133" s="24" t="s">
        <v>3668</v>
      </c>
      <c r="D133">
        <v>19</v>
      </c>
      <c r="E133" s="55" t="s">
        <v>13</v>
      </c>
      <c r="F133">
        <v>2024</v>
      </c>
      <c r="G133" t="s">
        <v>47</v>
      </c>
      <c r="H133" t="s">
        <v>3669</v>
      </c>
      <c r="I133" t="s">
        <v>3670</v>
      </c>
      <c r="J133">
        <v>14</v>
      </c>
      <c r="K133" s="12" t="s">
        <v>23</v>
      </c>
      <c r="L133">
        <v>2025</v>
      </c>
      <c r="M133" t="s">
        <v>1062</v>
      </c>
      <c r="N133" t="s">
        <v>3671</v>
      </c>
      <c r="O133" t="s">
        <v>3672</v>
      </c>
      <c r="P133" s="12" t="s">
        <v>52</v>
      </c>
      <c r="Q133" s="63">
        <v>438</v>
      </c>
      <c r="R133" s="38" t="str">
        <f t="shared" si="31"/>
        <v>ERASMO ELEAZAR CORONEL LEYVA Y FLOR YARED TORRES LEO</v>
      </c>
      <c r="S133" s="38" t="str">
        <f t="shared" si="32"/>
        <v>19 ENERO DE 2024</v>
      </c>
      <c r="T133" s="38" t="str">
        <f t="shared" si="33"/>
        <v>14 DICIEMBRE DE 2025</v>
      </c>
      <c r="U133" s="85">
        <v>2</v>
      </c>
      <c r="V133" s="85">
        <v>260</v>
      </c>
      <c r="W133" s="85">
        <v>519</v>
      </c>
    </row>
    <row r="134" spans="1:23">
      <c r="A134" s="38">
        <v>125</v>
      </c>
      <c r="B134" s="24" t="s">
        <v>3673</v>
      </c>
      <c r="D134">
        <v>24</v>
      </c>
      <c r="E134" s="55" t="s">
        <v>17</v>
      </c>
      <c r="F134">
        <v>2021</v>
      </c>
      <c r="G134" t="s">
        <v>47</v>
      </c>
      <c r="H134" t="s">
        <v>3669</v>
      </c>
      <c r="I134" t="s">
        <v>3670</v>
      </c>
      <c r="J134">
        <v>14</v>
      </c>
      <c r="K134" s="12" t="s">
        <v>23</v>
      </c>
      <c r="L134">
        <v>2025</v>
      </c>
      <c r="M134" t="s">
        <v>1062</v>
      </c>
      <c r="N134" t="s">
        <v>3674</v>
      </c>
      <c r="O134" t="s">
        <v>3675</v>
      </c>
      <c r="P134" s="12" t="s">
        <v>52</v>
      </c>
      <c r="Q134" s="63">
        <v>2974</v>
      </c>
      <c r="R134" s="38" t="str">
        <f t="shared" si="31"/>
        <v>ERASMO ELEAZAR CORONEL LEYVA Y FLOR YARED TORRES LEO</v>
      </c>
      <c r="S134" s="38" t="str">
        <f t="shared" si="32"/>
        <v>24 MAYO DE 2021</v>
      </c>
      <c r="T134" s="38" t="str">
        <f t="shared" si="33"/>
        <v>14 DICIEMBRE DE 2025</v>
      </c>
      <c r="U134">
        <v>2</v>
      </c>
      <c r="V134" s="63">
        <v>260</v>
      </c>
      <c r="W134">
        <v>520</v>
      </c>
    </row>
    <row r="135" spans="1:23">
      <c r="A135" s="38">
        <v>126</v>
      </c>
      <c r="B135" s="24" t="s">
        <v>3691</v>
      </c>
      <c r="D135">
        <v>22</v>
      </c>
      <c r="E135" s="55" t="s">
        <v>23</v>
      </c>
      <c r="F135">
        <v>2024</v>
      </c>
      <c r="G135" t="s">
        <v>47</v>
      </c>
      <c r="H135" t="s">
        <v>3692</v>
      </c>
      <c r="I135" t="s">
        <v>3693</v>
      </c>
      <c r="J135">
        <v>20</v>
      </c>
      <c r="K135" s="12" t="s">
        <v>23</v>
      </c>
      <c r="L135">
        <v>2025</v>
      </c>
      <c r="M135" t="s">
        <v>1062</v>
      </c>
      <c r="N135" t="s">
        <v>3694</v>
      </c>
      <c r="O135" t="s">
        <v>3695</v>
      </c>
      <c r="P135" s="12" t="s">
        <v>52</v>
      </c>
      <c r="Q135" s="63">
        <v>41</v>
      </c>
      <c r="R135" s="38" t="str">
        <f t="shared" si="31"/>
        <v>RAMON ANGEL DUARTE GRANILLO Y JULIA PILAR MENDIVIL MAZON</v>
      </c>
      <c r="S135" s="38" t="str">
        <f t="shared" si="32"/>
        <v>22 DICIEMBRE DE 2024</v>
      </c>
      <c r="T135" s="38" t="str">
        <f t="shared" si="33"/>
        <v>20 DICIEMBRE DE 2025</v>
      </c>
      <c r="U135">
        <v>2</v>
      </c>
      <c r="V135" s="63">
        <v>261</v>
      </c>
      <c r="W135">
        <v>521</v>
      </c>
    </row>
    <row r="136" spans="1:23" ht="20.25">
      <c r="A136" s="79"/>
      <c r="B136" s="21" t="s">
        <v>3701</v>
      </c>
      <c r="P136" s="12"/>
      <c r="U136" s="63"/>
      <c r="V136" s="63"/>
      <c r="W136" s="63"/>
    </row>
    <row r="137" spans="1:23">
      <c r="A137" s="38">
        <v>127</v>
      </c>
      <c r="B137" s="24" t="s">
        <v>3678</v>
      </c>
      <c r="D137">
        <v>29</v>
      </c>
      <c r="E137" s="55" t="s">
        <v>15</v>
      </c>
      <c r="F137">
        <v>2025</v>
      </c>
      <c r="G137" t="s">
        <v>47</v>
      </c>
      <c r="H137" t="s">
        <v>3676</v>
      </c>
      <c r="I137" t="s">
        <v>3679</v>
      </c>
      <c r="J137">
        <v>3</v>
      </c>
      <c r="K137" s="12" t="s">
        <v>13</v>
      </c>
      <c r="L137">
        <v>2026</v>
      </c>
      <c r="M137" t="s">
        <v>1062</v>
      </c>
      <c r="N137" t="s">
        <v>3680</v>
      </c>
      <c r="O137" t="s">
        <v>3681</v>
      </c>
      <c r="P137" s="12" t="s">
        <v>52</v>
      </c>
      <c r="Q137" s="63">
        <v>520</v>
      </c>
      <c r="R137" s="38" t="str">
        <f t="shared" si="31"/>
        <v xml:space="preserve">DARYAN ALEXANDER FERREIRA TEIXEIRA Y FLOR CAMILA LEAL GOMEZ </v>
      </c>
      <c r="S137" s="38" t="str">
        <f t="shared" si="32"/>
        <v>29 MARZO DE 2025</v>
      </c>
      <c r="T137" s="38" t="str">
        <f t="shared" si="33"/>
        <v>3 ENERO DE 2026</v>
      </c>
      <c r="U137">
        <v>2</v>
      </c>
      <c r="V137" s="63">
        <v>261</v>
      </c>
      <c r="W137">
        <v>522</v>
      </c>
    </row>
    <row r="138" spans="1:23">
      <c r="A138" s="38">
        <v>128</v>
      </c>
      <c r="B138" s="24" t="s">
        <v>3677</v>
      </c>
      <c r="D138">
        <v>29</v>
      </c>
      <c r="E138" s="55" t="s">
        <v>15</v>
      </c>
      <c r="F138">
        <v>2025</v>
      </c>
      <c r="G138" t="s">
        <v>47</v>
      </c>
      <c r="H138" t="s">
        <v>3676</v>
      </c>
      <c r="I138" t="s">
        <v>3679</v>
      </c>
      <c r="J138">
        <v>3</v>
      </c>
      <c r="K138" s="12" t="s">
        <v>13</v>
      </c>
      <c r="L138">
        <v>2026</v>
      </c>
      <c r="M138" t="s">
        <v>1062</v>
      </c>
      <c r="N138" t="s">
        <v>787</v>
      </c>
      <c r="O138" t="s">
        <v>788</v>
      </c>
      <c r="P138" s="12" t="s">
        <v>52</v>
      </c>
      <c r="Q138" s="63">
        <v>521</v>
      </c>
      <c r="R138" s="38" t="str">
        <f t="shared" ref="R138" si="34">H138&amp;" Y "&amp;I138</f>
        <v xml:space="preserve">DARYAN ALEXANDER FERREIRA TEIXEIRA Y FLOR CAMILA LEAL GOMEZ </v>
      </c>
      <c r="S138" s="38" t="str">
        <f t="shared" ref="S138" si="35">D138&amp;" "&amp;E138&amp;" DE "&amp;F138</f>
        <v>29 MARZO DE 2025</v>
      </c>
      <c r="T138" s="38" t="str">
        <f t="shared" ref="T138" si="36">J138&amp;" "&amp;K138&amp;" DE "&amp;L138</f>
        <v>3 ENERO DE 2026</v>
      </c>
      <c r="U138">
        <v>2</v>
      </c>
      <c r="V138" s="63">
        <v>262</v>
      </c>
      <c r="W138">
        <v>523</v>
      </c>
    </row>
    <row r="139" spans="1:23">
      <c r="A139" s="38">
        <v>129</v>
      </c>
      <c r="B139" s="24" t="s">
        <v>3696</v>
      </c>
      <c r="D139">
        <v>3</v>
      </c>
      <c r="E139" s="55" t="s">
        <v>13</v>
      </c>
      <c r="F139">
        <v>2025</v>
      </c>
      <c r="G139" t="s">
        <v>47</v>
      </c>
      <c r="H139" t="s">
        <v>3697</v>
      </c>
      <c r="I139" t="s">
        <v>3698</v>
      </c>
      <c r="J139">
        <v>3</v>
      </c>
      <c r="K139" s="12" t="s">
        <v>13</v>
      </c>
      <c r="L139">
        <v>2026</v>
      </c>
      <c r="M139" t="s">
        <v>1062</v>
      </c>
      <c r="N139" t="s">
        <v>3699</v>
      </c>
      <c r="O139" t="s">
        <v>3700</v>
      </c>
      <c r="P139" s="12" t="s">
        <v>52</v>
      </c>
      <c r="Q139" s="63">
        <v>58</v>
      </c>
      <c r="R139" s="38" t="str">
        <f t="shared" si="31"/>
        <v>DAVID ERASMO RASCON GONZALEZ Y KARITZA ALEJANDRA MONTOYA ESQUER</v>
      </c>
      <c r="S139" s="38" t="str">
        <f t="shared" si="32"/>
        <v>3 ENERO DE 2025</v>
      </c>
      <c r="T139" s="38" t="str">
        <f t="shared" si="33"/>
        <v>3 ENERO DE 2026</v>
      </c>
      <c r="U139">
        <v>2</v>
      </c>
      <c r="V139" s="63">
        <v>262</v>
      </c>
      <c r="W139">
        <v>524</v>
      </c>
    </row>
    <row r="140" spans="1:23">
      <c r="A140" s="38">
        <v>130</v>
      </c>
      <c r="B140" s="24" t="s">
        <v>3709</v>
      </c>
      <c r="D140">
        <v>10</v>
      </c>
      <c r="E140" s="55" t="s">
        <v>21</v>
      </c>
      <c r="F140">
        <v>2012</v>
      </c>
      <c r="G140" t="s">
        <v>47</v>
      </c>
      <c r="H140" t="s">
        <v>3706</v>
      </c>
      <c r="I140" t="s">
        <v>3707</v>
      </c>
      <c r="J140">
        <v>28</v>
      </c>
      <c r="K140" s="12" t="s">
        <v>14</v>
      </c>
      <c r="L140">
        <v>2026</v>
      </c>
      <c r="M140" t="s">
        <v>1062</v>
      </c>
      <c r="N140" t="s">
        <v>2209</v>
      </c>
      <c r="P140" s="12" t="s">
        <v>52</v>
      </c>
      <c r="Q140" s="63">
        <v>1355</v>
      </c>
      <c r="R140" s="38" t="str">
        <f t="shared" si="31"/>
        <v>ISRAEL ISAAC FLORES CASTELLANO Y VICTORIA YURENIA MEDRANO MORENO</v>
      </c>
      <c r="S140" s="38" t="str">
        <f t="shared" si="32"/>
        <v>10 OCTUBRE DE 2012</v>
      </c>
      <c r="T140" s="38" t="str">
        <f t="shared" si="33"/>
        <v>28 FEBRERO DE 2026</v>
      </c>
      <c r="U140">
        <v>2</v>
      </c>
      <c r="V140" s="63">
        <v>263</v>
      </c>
      <c r="W140">
        <v>525</v>
      </c>
    </row>
    <row r="141" spans="1:23">
      <c r="A141" s="86">
        <v>131</v>
      </c>
      <c r="B141" s="24" t="s">
        <v>3708</v>
      </c>
      <c r="D141">
        <v>26</v>
      </c>
      <c r="E141" s="55" t="s">
        <v>1145</v>
      </c>
      <c r="F141">
        <v>2011</v>
      </c>
      <c r="G141" t="s">
        <v>47</v>
      </c>
      <c r="H141" t="s">
        <v>3706</v>
      </c>
      <c r="I141" t="s">
        <v>3707</v>
      </c>
      <c r="J141">
        <v>28</v>
      </c>
      <c r="K141" s="12" t="s">
        <v>14</v>
      </c>
      <c r="L141">
        <v>2026</v>
      </c>
      <c r="M141" t="s">
        <v>1062</v>
      </c>
      <c r="N141" t="s">
        <v>1037</v>
      </c>
      <c r="P141" s="12" t="s">
        <v>52</v>
      </c>
      <c r="Q141" s="63">
        <v>1378</v>
      </c>
      <c r="R141" s="38" t="str">
        <f t="shared" si="31"/>
        <v>ISRAEL ISAAC FLORES CASTELLANO Y VICTORIA YURENIA MEDRANO MORENO</v>
      </c>
      <c r="S141" s="38" t="str">
        <f t="shared" si="32"/>
        <v>26 SEPTIEMBRE DE 2011</v>
      </c>
      <c r="T141" s="38" t="str">
        <f t="shared" si="33"/>
        <v>28 FEBRERO DE 2026</v>
      </c>
      <c r="U141" s="63">
        <v>2</v>
      </c>
      <c r="V141" s="63">
        <v>263</v>
      </c>
      <c r="W141" s="63">
        <v>526</v>
      </c>
    </row>
    <row r="142" spans="1:23">
      <c r="A142" s="38">
        <v>132</v>
      </c>
      <c r="B142" s="24" t="s">
        <v>3710</v>
      </c>
      <c r="D142">
        <v>15</v>
      </c>
      <c r="E142" s="55" t="s">
        <v>13</v>
      </c>
      <c r="F142">
        <v>2025</v>
      </c>
      <c r="G142" t="s">
        <v>47</v>
      </c>
      <c r="H142" t="s">
        <v>3711</v>
      </c>
      <c r="I142" t="s">
        <v>1229</v>
      </c>
      <c r="J142">
        <v>7</v>
      </c>
      <c r="K142" s="12" t="s">
        <v>15</v>
      </c>
      <c r="L142">
        <v>2026</v>
      </c>
      <c r="M142" t="s">
        <v>1062</v>
      </c>
      <c r="N142" t="s">
        <v>3712</v>
      </c>
      <c r="O142" t="s">
        <v>2914</v>
      </c>
      <c r="P142" s="12" t="s">
        <v>52</v>
      </c>
      <c r="Q142" s="63">
        <v>1661</v>
      </c>
      <c r="R142" s="38" t="str">
        <f t="shared" si="31"/>
        <v>BERNARDO ANTONIO JAIME CRUZ Y CECILIA GUADALUPE AMPARANO ACUÑA</v>
      </c>
      <c r="S142" s="38" t="str">
        <f t="shared" si="32"/>
        <v>15 ENERO DE 2025</v>
      </c>
      <c r="T142" s="38" t="str">
        <f t="shared" si="33"/>
        <v>7 MARZO DE 2026</v>
      </c>
      <c r="U142">
        <v>2</v>
      </c>
      <c r="V142" s="63">
        <v>264</v>
      </c>
      <c r="W142">
        <v>527</v>
      </c>
    </row>
    <row r="143" spans="1:23">
      <c r="A143" s="38">
        <v>133</v>
      </c>
      <c r="B143" s="24" t="s">
        <v>3713</v>
      </c>
      <c r="D143">
        <v>15</v>
      </c>
      <c r="E143" s="55" t="s">
        <v>13</v>
      </c>
      <c r="F143">
        <v>2025</v>
      </c>
      <c r="G143" t="s">
        <v>47</v>
      </c>
      <c r="H143" t="s">
        <v>3711</v>
      </c>
      <c r="I143" t="s">
        <v>1229</v>
      </c>
      <c r="J143">
        <v>7</v>
      </c>
      <c r="K143" s="12" t="s">
        <v>15</v>
      </c>
      <c r="L143">
        <v>2026</v>
      </c>
      <c r="M143" t="s">
        <v>1062</v>
      </c>
      <c r="N143" t="s">
        <v>3712</v>
      </c>
      <c r="O143" t="s">
        <v>2914</v>
      </c>
      <c r="P143" s="12" t="s">
        <v>52</v>
      </c>
      <c r="Q143" s="63">
        <v>1660</v>
      </c>
      <c r="R143" s="38" t="str">
        <f t="shared" si="31"/>
        <v>BERNARDO ANTONIO JAIME CRUZ Y CECILIA GUADALUPE AMPARANO ACUÑA</v>
      </c>
      <c r="S143" s="38" t="str">
        <f t="shared" si="32"/>
        <v>15 ENERO DE 2025</v>
      </c>
      <c r="T143" s="38" t="str">
        <f t="shared" si="33"/>
        <v>7 MARZO DE 2026</v>
      </c>
      <c r="U143">
        <v>2</v>
      </c>
      <c r="V143" s="63">
        <v>264</v>
      </c>
      <c r="W143">
        <v>528</v>
      </c>
    </row>
    <row r="144" spans="1:23">
      <c r="A144" s="38">
        <v>134</v>
      </c>
      <c r="B144" s="24" t="s">
        <v>3723</v>
      </c>
      <c r="D144">
        <v>19</v>
      </c>
      <c r="E144" s="55" t="s">
        <v>13</v>
      </c>
      <c r="F144">
        <v>2024</v>
      </c>
      <c r="G144" t="s">
        <v>47</v>
      </c>
      <c r="H144" t="s">
        <v>3719</v>
      </c>
      <c r="I144" t="s">
        <v>3720</v>
      </c>
      <c r="J144">
        <v>20</v>
      </c>
      <c r="K144" s="12" t="s">
        <v>15</v>
      </c>
      <c r="L144">
        <v>2026</v>
      </c>
      <c r="M144" t="s">
        <v>1062</v>
      </c>
      <c r="N144" t="s">
        <v>3722</v>
      </c>
      <c r="O144" t="s">
        <v>3721</v>
      </c>
      <c r="P144" s="12" t="s">
        <v>52</v>
      </c>
      <c r="Q144" s="63">
        <v>293</v>
      </c>
      <c r="R144" s="38" t="str">
        <f t="shared" si="31"/>
        <v>BRYAN ISRAEL SANDOVAL ARIPEZ Y MARIA CRISTINA ROMERO VALENCIA</v>
      </c>
      <c r="S144" s="38" t="str">
        <f t="shared" si="32"/>
        <v>19 ENERO DE 2024</v>
      </c>
      <c r="T144" s="38" t="str">
        <f t="shared" si="33"/>
        <v>20 MARZO DE 2026</v>
      </c>
      <c r="U144">
        <v>2</v>
      </c>
      <c r="V144" s="63">
        <v>265</v>
      </c>
      <c r="W144">
        <v>529</v>
      </c>
    </row>
    <row r="145" spans="1:23">
      <c r="A145" s="38">
        <v>135</v>
      </c>
      <c r="B145" s="24" t="s">
        <v>3714</v>
      </c>
      <c r="D145">
        <v>22</v>
      </c>
      <c r="E145" s="55" t="s">
        <v>19</v>
      </c>
      <c r="F145">
        <v>2019</v>
      </c>
      <c r="G145" t="s">
        <v>47</v>
      </c>
      <c r="H145" t="s">
        <v>3715</v>
      </c>
      <c r="I145" t="s">
        <v>3716</v>
      </c>
      <c r="J145">
        <v>22</v>
      </c>
      <c r="K145" s="12" t="s">
        <v>15</v>
      </c>
      <c r="L145">
        <v>2026</v>
      </c>
      <c r="M145" t="s">
        <v>1062</v>
      </c>
      <c r="N145" t="s">
        <v>3718</v>
      </c>
      <c r="O145" t="s">
        <v>3717</v>
      </c>
      <c r="P145" s="12" t="s">
        <v>52</v>
      </c>
      <c r="Q145" s="63">
        <v>2698</v>
      </c>
      <c r="R145" s="38" t="str">
        <f t="shared" si="31"/>
        <v>ORLANDO SANDOVAL MAZON Y ELIZABETH GAJON LEDGARD</v>
      </c>
      <c r="S145" s="38" t="str">
        <f t="shared" si="32"/>
        <v>22 JULIO DE 2019</v>
      </c>
      <c r="T145" s="38" t="str">
        <f t="shared" si="33"/>
        <v>22 MARZO DE 2026</v>
      </c>
      <c r="U145">
        <v>2</v>
      </c>
      <c r="V145" s="63">
        <v>265</v>
      </c>
      <c r="W145">
        <v>530</v>
      </c>
    </row>
    <row r="146" spans="1:23">
      <c r="A146" s="38">
        <v>136</v>
      </c>
      <c r="B146" s="24" t="s">
        <v>3729</v>
      </c>
      <c r="D146">
        <v>31</v>
      </c>
      <c r="E146" s="55" t="s">
        <v>23</v>
      </c>
      <c r="F146">
        <v>2011</v>
      </c>
      <c r="G146" t="s">
        <v>47</v>
      </c>
      <c r="H146" t="s">
        <v>3730</v>
      </c>
      <c r="I146" t="s">
        <v>3456</v>
      </c>
      <c r="J146">
        <v>22</v>
      </c>
      <c r="K146" s="12" t="s">
        <v>15</v>
      </c>
      <c r="L146">
        <v>2026</v>
      </c>
      <c r="M146" t="s">
        <v>1062</v>
      </c>
      <c r="N146" t="s">
        <v>3491</v>
      </c>
      <c r="O146" t="s">
        <v>3513</v>
      </c>
      <c r="P146" s="12" t="s">
        <v>52</v>
      </c>
      <c r="Q146" s="63">
        <v>96</v>
      </c>
      <c r="R146" s="38" t="str">
        <f t="shared" si="31"/>
        <v>ISRAEL ENRIQUEZ ROMERO Y FATIMA DENISSE MORENO FIERRO</v>
      </c>
      <c r="S146" s="38" t="str">
        <f t="shared" si="32"/>
        <v>31 DICIEMBRE DE 2011</v>
      </c>
      <c r="T146" s="38" t="str">
        <f t="shared" si="33"/>
        <v>22 MARZO DE 2026</v>
      </c>
      <c r="U146">
        <v>2</v>
      </c>
      <c r="V146" s="63">
        <v>266</v>
      </c>
      <c r="W146">
        <v>531</v>
      </c>
    </row>
    <row r="147" spans="1:23">
      <c r="A147" s="38">
        <v>137</v>
      </c>
      <c r="B147" s="24" t="s">
        <v>3731</v>
      </c>
      <c r="D147">
        <v>10</v>
      </c>
      <c r="E147" s="55" t="s">
        <v>1145</v>
      </c>
      <c r="F147">
        <v>2025</v>
      </c>
      <c r="G147" t="s">
        <v>47</v>
      </c>
      <c r="H147" t="s">
        <v>3732</v>
      </c>
      <c r="I147" t="s">
        <v>3733</v>
      </c>
      <c r="J147">
        <v>26</v>
      </c>
      <c r="K147" s="12" t="s">
        <v>16</v>
      </c>
      <c r="L147">
        <v>2026</v>
      </c>
      <c r="M147" t="s">
        <v>1062</v>
      </c>
      <c r="N147" s="61" t="s">
        <v>3734</v>
      </c>
      <c r="O147" s="61" t="s">
        <v>3735</v>
      </c>
      <c r="P147" s="12" t="s">
        <v>52</v>
      </c>
      <c r="Q147" s="63">
        <v>1595</v>
      </c>
      <c r="R147" s="38" t="str">
        <f t="shared" si="31"/>
        <v>HECTOR FRANCISCO QUIRRIN SILVESTRE Y ELIZABETH CRISTINA FELIX ORTIZ</v>
      </c>
      <c r="S147" s="38" t="str">
        <f t="shared" si="32"/>
        <v>10 SEPTIEMBRE DE 2025</v>
      </c>
      <c r="T147" s="38" t="str">
        <f t="shared" si="33"/>
        <v>26 ABRIL DE 2026</v>
      </c>
      <c r="U147">
        <v>2</v>
      </c>
      <c r="V147" s="63">
        <v>266</v>
      </c>
      <c r="W147">
        <v>532</v>
      </c>
    </row>
    <row r="148" spans="1:23">
      <c r="A148" s="38">
        <v>138</v>
      </c>
      <c r="B148" s="24" t="s">
        <v>3799</v>
      </c>
      <c r="D148">
        <v>14</v>
      </c>
      <c r="E148" s="55" t="s">
        <v>18</v>
      </c>
      <c r="F148">
        <v>2024</v>
      </c>
      <c r="G148" t="s">
        <v>47</v>
      </c>
      <c r="H148" t="s">
        <v>3800</v>
      </c>
      <c r="I148" t="s">
        <v>3801</v>
      </c>
      <c r="J148">
        <v>9</v>
      </c>
      <c r="K148" s="12" t="s">
        <v>17</v>
      </c>
      <c r="L148">
        <v>2026</v>
      </c>
      <c r="M148" t="s">
        <v>4030</v>
      </c>
      <c r="N148" t="s">
        <v>3802</v>
      </c>
      <c r="O148" t="s">
        <v>3803</v>
      </c>
      <c r="P148" s="12" t="s">
        <v>52</v>
      </c>
      <c r="Q148" s="63">
        <v>513</v>
      </c>
      <c r="R148" s="38" t="str">
        <f t="shared" si="31"/>
        <v>MARTIN FRANCISCO RODRIGUEZ SILVA Y ALEJANDRA ENCINAS FIMBRES</v>
      </c>
      <c r="S148" s="38" t="str">
        <f t="shared" si="32"/>
        <v>14 JUNIO DE 2024</v>
      </c>
      <c r="T148" s="38" t="str">
        <f t="shared" si="33"/>
        <v>9 MAYO DE 2026</v>
      </c>
      <c r="U148">
        <v>2</v>
      </c>
      <c r="V148" s="63">
        <v>267</v>
      </c>
      <c r="W148">
        <v>533</v>
      </c>
    </row>
    <row r="149" spans="1:23">
      <c r="A149" s="38">
        <v>139</v>
      </c>
      <c r="B149" s="24" t="s">
        <v>4026</v>
      </c>
      <c r="D149">
        <v>12</v>
      </c>
      <c r="E149" s="55" t="s">
        <v>17</v>
      </c>
      <c r="F149">
        <v>2019</v>
      </c>
      <c r="G149" t="s">
        <v>4027</v>
      </c>
      <c r="H149" t="s">
        <v>4028</v>
      </c>
      <c r="I149" t="s">
        <v>4029</v>
      </c>
      <c r="J149">
        <v>17</v>
      </c>
      <c r="K149" s="12" t="s">
        <v>17</v>
      </c>
      <c r="L149">
        <v>2026</v>
      </c>
      <c r="M149" t="s">
        <v>4030</v>
      </c>
      <c r="N149" s="12" t="s">
        <v>4032</v>
      </c>
      <c r="O149" s="12" t="s">
        <v>4033</v>
      </c>
      <c r="P149" s="12" t="s">
        <v>4031</v>
      </c>
      <c r="Q149" s="63">
        <v>1729</v>
      </c>
      <c r="R149" s="38" t="str">
        <f t="shared" si="31"/>
        <v>HERIBERTO PARAMO RODRIGUEZ Y KAREN JACQUELINE MORALES SESTEAGA</v>
      </c>
      <c r="S149" s="38" t="str">
        <f t="shared" si="32"/>
        <v>12 MAYO DE 2019</v>
      </c>
      <c r="T149" s="38" t="str">
        <f t="shared" si="33"/>
        <v>17 MAYO DE 2026</v>
      </c>
      <c r="U149">
        <v>2</v>
      </c>
      <c r="V149" s="63">
        <v>267</v>
      </c>
      <c r="W149">
        <v>534</v>
      </c>
    </row>
    <row r="150" spans="1:23">
      <c r="A150" s="38">
        <v>140</v>
      </c>
      <c r="B150" s="24" t="s">
        <v>4202</v>
      </c>
      <c r="D150">
        <v>27</v>
      </c>
      <c r="E150" s="55" t="s">
        <v>19</v>
      </c>
      <c r="F150">
        <v>2013</v>
      </c>
      <c r="G150" t="s">
        <v>47</v>
      </c>
      <c r="H150" t="s">
        <v>4203</v>
      </c>
      <c r="I150" t="s">
        <v>4204</v>
      </c>
      <c r="J150">
        <v>23</v>
      </c>
      <c r="K150" s="12" t="s">
        <v>17</v>
      </c>
      <c r="L150">
        <v>2026</v>
      </c>
      <c r="M150" t="s">
        <v>4030</v>
      </c>
      <c r="N150" s="12" t="s">
        <v>4205</v>
      </c>
      <c r="O150" s="12" t="s">
        <v>4206</v>
      </c>
      <c r="P150" s="12" t="s">
        <v>4031</v>
      </c>
      <c r="Q150" s="63">
        <v>4740</v>
      </c>
      <c r="R150" s="38" t="str">
        <f t="shared" si="31"/>
        <v>JOSE AUGUSTO MONTAÑO HERNANDEZ Y PALOMA AMELIA HERNANDEZ ROBLES</v>
      </c>
      <c r="S150" s="38" t="str">
        <f t="shared" si="32"/>
        <v>27 JULIO DE 2013</v>
      </c>
      <c r="T150" s="38" t="str">
        <f t="shared" si="33"/>
        <v>23 MAYO DE 2026</v>
      </c>
      <c r="U150">
        <v>2</v>
      </c>
      <c r="V150" s="63">
        <v>268</v>
      </c>
      <c r="W150">
        <v>535</v>
      </c>
    </row>
    <row r="151" spans="1:23">
      <c r="A151" s="38">
        <v>141</v>
      </c>
      <c r="B151" s="24" t="s">
        <v>4207</v>
      </c>
      <c r="D151">
        <v>25</v>
      </c>
      <c r="E151" s="55" t="s">
        <v>21</v>
      </c>
      <c r="F151">
        <v>2023</v>
      </c>
      <c r="G151" t="s">
        <v>47</v>
      </c>
      <c r="H151" t="s">
        <v>4208</v>
      </c>
      <c r="I151" t="s">
        <v>4204</v>
      </c>
      <c r="J151">
        <v>23</v>
      </c>
      <c r="K151" s="12" t="s">
        <v>17</v>
      </c>
      <c r="L151">
        <v>2026</v>
      </c>
      <c r="M151" t="s">
        <v>4030</v>
      </c>
      <c r="N151" s="12" t="s">
        <v>4205</v>
      </c>
      <c r="O151" s="12" t="s">
        <v>4206</v>
      </c>
      <c r="P151" s="12" t="s">
        <v>52</v>
      </c>
      <c r="Q151" s="63">
        <v>1481</v>
      </c>
      <c r="R151" s="38" t="str">
        <f t="shared" si="31"/>
        <v>NICHOLAS RYAN MORRIS  Y PALOMA AMELIA HERNANDEZ ROBLES</v>
      </c>
      <c r="S151" s="38" t="str">
        <f t="shared" si="32"/>
        <v>25 OCTUBRE DE 2023</v>
      </c>
      <c r="T151" s="38" t="str">
        <f t="shared" si="33"/>
        <v>23 MAYO DE 2026</v>
      </c>
      <c r="U151">
        <v>2</v>
      </c>
      <c r="V151" s="63">
        <v>268</v>
      </c>
      <c r="W151">
        <v>536</v>
      </c>
    </row>
    <row r="152" spans="1:23">
      <c r="A152" s="79">
        <v>142</v>
      </c>
      <c r="B152" s="24" t="s">
        <v>4435</v>
      </c>
      <c r="D152">
        <v>19</v>
      </c>
      <c r="E152" s="55" t="s">
        <v>16</v>
      </c>
      <c r="F152">
        <v>2024</v>
      </c>
      <c r="G152" t="s">
        <v>47</v>
      </c>
      <c r="H152" t="s">
        <v>4428</v>
      </c>
      <c r="I152" t="s">
        <v>4429</v>
      </c>
      <c r="J152">
        <v>6</v>
      </c>
      <c r="K152" s="55" t="s">
        <v>18</v>
      </c>
      <c r="L152">
        <v>2026</v>
      </c>
      <c r="M152" t="s">
        <v>1062</v>
      </c>
      <c r="N152" s="12" t="s">
        <v>4430</v>
      </c>
      <c r="O152" s="12" t="s">
        <v>4431</v>
      </c>
      <c r="P152" s="12" t="s">
        <v>52</v>
      </c>
      <c r="Q152" s="63">
        <v>1623</v>
      </c>
      <c r="R152" s="38" t="str">
        <f t="shared" ref="R152:R153" si="37">I152&amp;" Y "&amp;H152</f>
        <v>ANA PAULINA GALVEZ BUSTAMANTE Y JESUS ARMANDO RAMOS DORAME</v>
      </c>
      <c r="S152" s="38" t="str">
        <f t="shared" ref="S152:S153" si="38">D152&amp;" "&amp;E152&amp;" DE "&amp;F152</f>
        <v>19 ABRIL DE 2024</v>
      </c>
      <c r="T152" s="38" t="str">
        <f t="shared" ref="T152:T153" si="39">J152&amp;" "&amp;K152&amp;" DE "&amp;L152</f>
        <v>6 JUNIO DE 2026</v>
      </c>
      <c r="U152" s="63">
        <v>2</v>
      </c>
      <c r="V152" s="63">
        <v>269</v>
      </c>
      <c r="W152" s="63">
        <v>537</v>
      </c>
    </row>
    <row r="153" spans="1:23">
      <c r="A153" s="38">
        <v>143</v>
      </c>
      <c r="B153" s="24" t="s">
        <v>4432</v>
      </c>
      <c r="D153">
        <v>13</v>
      </c>
      <c r="E153" s="55" t="s">
        <v>20</v>
      </c>
      <c r="F153">
        <v>2018</v>
      </c>
      <c r="G153" t="s">
        <v>47</v>
      </c>
      <c r="H153" t="s">
        <v>4433</v>
      </c>
      <c r="I153" t="s">
        <v>4430</v>
      </c>
      <c r="J153">
        <v>6</v>
      </c>
      <c r="K153" s="12" t="s">
        <v>18</v>
      </c>
      <c r="L153">
        <v>2026</v>
      </c>
      <c r="M153" t="s">
        <v>1062</v>
      </c>
      <c r="N153" s="12" t="s">
        <v>4428</v>
      </c>
      <c r="O153" s="12" t="s">
        <v>4434</v>
      </c>
      <c r="P153" s="12" t="s">
        <v>52</v>
      </c>
      <c r="Q153" s="63">
        <v>3408</v>
      </c>
      <c r="R153" s="38" t="str">
        <f t="shared" si="37"/>
        <v>CRISTA ANGELICA RAMOS DORAME Y JESUS MANUEL AMAYA CORDOVA</v>
      </c>
      <c r="S153" s="38" t="str">
        <f t="shared" si="38"/>
        <v>13 AGOSTO DE 2018</v>
      </c>
      <c r="T153" s="38" t="str">
        <f t="shared" si="39"/>
        <v>6 JUNIO DE 2026</v>
      </c>
      <c r="U153">
        <v>2</v>
      </c>
      <c r="V153" s="63">
        <v>269</v>
      </c>
      <c r="W153">
        <v>538</v>
      </c>
    </row>
    <row r="154" spans="1:23">
      <c r="A154" s="38">
        <v>144</v>
      </c>
      <c r="U154">
        <v>2</v>
      </c>
      <c r="V154" s="63">
        <v>270</v>
      </c>
      <c r="W154">
        <v>539</v>
      </c>
    </row>
    <row r="155" spans="1:23">
      <c r="A155" s="38">
        <v>145</v>
      </c>
      <c r="U155">
        <v>2</v>
      </c>
      <c r="V155" s="63">
        <v>270</v>
      </c>
      <c r="W155">
        <v>540</v>
      </c>
    </row>
    <row r="156" spans="1:23">
      <c r="A156" s="38">
        <v>146</v>
      </c>
      <c r="U156">
        <v>2</v>
      </c>
    </row>
    <row r="157" spans="1:23">
      <c r="A157" s="38">
        <v>147</v>
      </c>
      <c r="U157">
        <v>2</v>
      </c>
    </row>
    <row r="158" spans="1:23">
      <c r="A158" s="38">
        <v>148</v>
      </c>
      <c r="U158">
        <v>2</v>
      </c>
    </row>
    <row r="159" spans="1:23">
      <c r="A159" s="38">
        <v>149</v>
      </c>
      <c r="U159">
        <v>2</v>
      </c>
    </row>
    <row r="160" spans="1:23">
      <c r="A160" s="38">
        <v>150</v>
      </c>
      <c r="U160">
        <v>2</v>
      </c>
    </row>
    <row r="161" spans="1:21">
      <c r="A161" s="38">
        <v>151</v>
      </c>
      <c r="U161">
        <v>2</v>
      </c>
    </row>
    <row r="162" spans="1:21">
      <c r="A162" s="38">
        <v>152</v>
      </c>
      <c r="U162">
        <v>2</v>
      </c>
    </row>
    <row r="163" spans="1:21">
      <c r="A163" s="38">
        <v>153</v>
      </c>
      <c r="U163">
        <v>2</v>
      </c>
    </row>
    <row r="164" spans="1:21">
      <c r="A164" s="38">
        <v>154</v>
      </c>
      <c r="U164">
        <v>2</v>
      </c>
    </row>
    <row r="165" spans="1:21">
      <c r="A165" s="38">
        <v>155</v>
      </c>
      <c r="U165">
        <v>2</v>
      </c>
    </row>
    <row r="166" spans="1:21">
      <c r="A166" s="38">
        <v>156</v>
      </c>
      <c r="U166">
        <v>2</v>
      </c>
    </row>
    <row r="167" spans="1:21">
      <c r="A167" s="38">
        <v>157</v>
      </c>
      <c r="U167">
        <v>2</v>
      </c>
    </row>
    <row r="168" spans="1:21">
      <c r="A168" s="38">
        <v>158</v>
      </c>
      <c r="U168">
        <v>2</v>
      </c>
    </row>
    <row r="169" spans="1:21">
      <c r="A169" s="38">
        <v>159</v>
      </c>
      <c r="U169">
        <v>2</v>
      </c>
    </row>
    <row r="170" spans="1:21">
      <c r="A170" s="38">
        <v>160</v>
      </c>
      <c r="U170">
        <v>2</v>
      </c>
    </row>
    <row r="171" spans="1:21">
      <c r="A171" s="38">
        <v>161</v>
      </c>
      <c r="U171">
        <v>2</v>
      </c>
    </row>
    <row r="172" spans="1:21">
      <c r="A172" s="38">
        <v>162</v>
      </c>
      <c r="U172">
        <v>2</v>
      </c>
    </row>
    <row r="173" spans="1:21">
      <c r="A173" s="38">
        <v>163</v>
      </c>
      <c r="U173">
        <v>2</v>
      </c>
    </row>
    <row r="174" spans="1:21">
      <c r="A174" s="38">
        <v>164</v>
      </c>
      <c r="U174">
        <v>2</v>
      </c>
    </row>
    <row r="175" spans="1:21">
      <c r="A175" s="38">
        <v>165</v>
      </c>
      <c r="U175">
        <v>2</v>
      </c>
    </row>
    <row r="176" spans="1:21">
      <c r="A176" s="38">
        <v>166</v>
      </c>
      <c r="U176">
        <v>2</v>
      </c>
    </row>
    <row r="177" spans="1:21">
      <c r="A177" s="38">
        <v>167</v>
      </c>
      <c r="U177">
        <v>2</v>
      </c>
    </row>
    <row r="178" spans="1:21">
      <c r="A178" s="38">
        <v>168</v>
      </c>
      <c r="U178">
        <v>2</v>
      </c>
    </row>
    <row r="179" spans="1:21">
      <c r="A179" s="38">
        <v>169</v>
      </c>
      <c r="U179">
        <v>2</v>
      </c>
    </row>
    <row r="180" spans="1:21">
      <c r="A180" s="38">
        <v>170</v>
      </c>
      <c r="U180">
        <v>2</v>
      </c>
    </row>
    <row r="181" spans="1:21">
      <c r="A181" s="38">
        <v>171</v>
      </c>
      <c r="U181">
        <v>2</v>
      </c>
    </row>
    <row r="182" spans="1:21">
      <c r="A182" s="38">
        <v>172</v>
      </c>
      <c r="U182">
        <v>2</v>
      </c>
    </row>
    <row r="183" spans="1:21">
      <c r="A183" s="38">
        <v>173</v>
      </c>
      <c r="U183">
        <v>2</v>
      </c>
    </row>
    <row r="184" spans="1:21">
      <c r="A184" s="38">
        <v>174</v>
      </c>
      <c r="U184">
        <v>2</v>
      </c>
    </row>
    <row r="185" spans="1:21">
      <c r="A185" s="38">
        <v>175</v>
      </c>
      <c r="U185">
        <v>2</v>
      </c>
    </row>
    <row r="186" spans="1:21">
      <c r="A186" s="38">
        <v>176</v>
      </c>
      <c r="U186">
        <v>2</v>
      </c>
    </row>
    <row r="187" spans="1:21">
      <c r="A187" s="38">
        <v>177</v>
      </c>
      <c r="U187">
        <v>2</v>
      </c>
    </row>
    <row r="188" spans="1:21">
      <c r="A188" s="38">
        <v>178</v>
      </c>
      <c r="U188">
        <v>2</v>
      </c>
    </row>
    <row r="189" spans="1:21">
      <c r="A189" s="38">
        <v>179</v>
      </c>
      <c r="U189">
        <v>2</v>
      </c>
    </row>
    <row r="190" spans="1:21">
      <c r="A190" s="38">
        <v>180</v>
      </c>
      <c r="U190">
        <v>2</v>
      </c>
    </row>
    <row r="191" spans="1:21">
      <c r="A191" s="38">
        <v>181</v>
      </c>
      <c r="U191">
        <v>2</v>
      </c>
    </row>
    <row r="192" spans="1:21">
      <c r="A192" s="38">
        <v>182</v>
      </c>
      <c r="U192">
        <v>2</v>
      </c>
    </row>
    <row r="193" spans="1:21">
      <c r="A193" s="38">
        <v>183</v>
      </c>
      <c r="U193">
        <v>2</v>
      </c>
    </row>
    <row r="194" spans="1:21">
      <c r="A194" s="38">
        <v>184</v>
      </c>
      <c r="U194">
        <v>2</v>
      </c>
    </row>
    <row r="195" spans="1:21">
      <c r="A195" s="38">
        <v>185</v>
      </c>
      <c r="U195">
        <v>2</v>
      </c>
    </row>
    <row r="196" spans="1:21">
      <c r="A196" s="38">
        <v>186</v>
      </c>
      <c r="U196">
        <v>2</v>
      </c>
    </row>
    <row r="197" spans="1:21">
      <c r="A197" s="38">
        <v>187</v>
      </c>
      <c r="U197">
        <v>2</v>
      </c>
    </row>
    <row r="198" spans="1:21">
      <c r="A198" s="38">
        <v>188</v>
      </c>
      <c r="U198">
        <v>2</v>
      </c>
    </row>
    <row r="199" spans="1:21">
      <c r="A199" s="38">
        <v>189</v>
      </c>
      <c r="U199">
        <v>2</v>
      </c>
    </row>
    <row r="200" spans="1:21">
      <c r="A200" s="38">
        <v>190</v>
      </c>
      <c r="U200">
        <v>2</v>
      </c>
    </row>
    <row r="201" spans="1:21">
      <c r="A201" s="38">
        <v>191</v>
      </c>
      <c r="U201">
        <v>2</v>
      </c>
    </row>
    <row r="202" spans="1:21">
      <c r="A202" s="38">
        <v>192</v>
      </c>
      <c r="U202">
        <v>2</v>
      </c>
    </row>
    <row r="203" spans="1:21">
      <c r="U203">
        <v>2</v>
      </c>
    </row>
    <row r="204" spans="1:21">
      <c r="U204">
        <v>2</v>
      </c>
    </row>
    <row r="205" spans="1:21">
      <c r="U205">
        <v>2</v>
      </c>
    </row>
    <row r="206" spans="1:21">
      <c r="U206">
        <v>2</v>
      </c>
    </row>
    <row r="207" spans="1:21">
      <c r="U207">
        <v>2</v>
      </c>
    </row>
    <row r="208" spans="1:21">
      <c r="U208">
        <v>2</v>
      </c>
    </row>
    <row r="209" spans="21:21">
      <c r="U209">
        <v>2</v>
      </c>
    </row>
    <row r="210" spans="21:21">
      <c r="U210">
        <v>2</v>
      </c>
    </row>
    <row r="211" spans="21:21">
      <c r="U211">
        <v>2</v>
      </c>
    </row>
    <row r="212" spans="21:21">
      <c r="U212">
        <v>2</v>
      </c>
    </row>
    <row r="213" spans="21:21">
      <c r="U213">
        <v>2</v>
      </c>
    </row>
    <row r="214" spans="21:21">
      <c r="U214">
        <v>2</v>
      </c>
    </row>
    <row r="215" spans="21:21">
      <c r="U215">
        <v>2</v>
      </c>
    </row>
    <row r="216" spans="21:21">
      <c r="U216">
        <v>2</v>
      </c>
    </row>
    <row r="217" spans="21:21">
      <c r="U217">
        <v>2</v>
      </c>
    </row>
    <row r="218" spans="21:21">
      <c r="U218">
        <v>2</v>
      </c>
    </row>
    <row r="219" spans="21:21">
      <c r="U219">
        <v>2</v>
      </c>
    </row>
    <row r="220" spans="21:21">
      <c r="U220">
        <v>2</v>
      </c>
    </row>
    <row r="221" spans="21:21">
      <c r="U221">
        <v>2</v>
      </c>
    </row>
    <row r="222" spans="21:21">
      <c r="U222">
        <v>2</v>
      </c>
    </row>
    <row r="223" spans="21:21">
      <c r="U223">
        <v>2</v>
      </c>
    </row>
    <row r="224" spans="21:21">
      <c r="U224">
        <v>2</v>
      </c>
    </row>
    <row r="225" spans="21:21">
      <c r="U225">
        <v>2</v>
      </c>
    </row>
    <row r="226" spans="21:21">
      <c r="U226">
        <v>2</v>
      </c>
    </row>
    <row r="227" spans="21:21">
      <c r="U227">
        <v>2</v>
      </c>
    </row>
    <row r="228" spans="21:21">
      <c r="U228">
        <v>2</v>
      </c>
    </row>
    <row r="229" spans="21:21">
      <c r="U229">
        <v>2</v>
      </c>
    </row>
    <row r="230" spans="21:21">
      <c r="U230">
        <v>2</v>
      </c>
    </row>
    <row r="231" spans="21:21">
      <c r="U231">
        <v>2</v>
      </c>
    </row>
    <row r="232" spans="21:21">
      <c r="U232">
        <v>2</v>
      </c>
    </row>
    <row r="233" spans="21:21">
      <c r="U233">
        <v>2</v>
      </c>
    </row>
    <row r="234" spans="21:21">
      <c r="U234">
        <v>2</v>
      </c>
    </row>
    <row r="235" spans="21:21">
      <c r="U235">
        <v>2</v>
      </c>
    </row>
    <row r="236" spans="21:21">
      <c r="U236">
        <v>2</v>
      </c>
    </row>
    <row r="237" spans="21:21">
      <c r="U237">
        <v>2</v>
      </c>
    </row>
    <row r="238" spans="21:21">
      <c r="U238">
        <v>2</v>
      </c>
    </row>
    <row r="239" spans="21:21">
      <c r="U239">
        <v>2</v>
      </c>
    </row>
    <row r="240" spans="21:21">
      <c r="U240">
        <v>2</v>
      </c>
    </row>
    <row r="241" spans="21:21">
      <c r="U241">
        <v>2</v>
      </c>
    </row>
    <row r="242" spans="21:21">
      <c r="U242">
        <v>2</v>
      </c>
    </row>
    <row r="243" spans="21:21">
      <c r="U243">
        <v>2</v>
      </c>
    </row>
    <row r="244" spans="21:21">
      <c r="U244">
        <v>2</v>
      </c>
    </row>
    <row r="245" spans="21:21">
      <c r="U245">
        <v>2</v>
      </c>
    </row>
    <row r="246" spans="21:21">
      <c r="U246">
        <v>2</v>
      </c>
    </row>
    <row r="247" spans="21:21">
      <c r="U247">
        <v>2</v>
      </c>
    </row>
    <row r="248" spans="21:21">
      <c r="U248">
        <v>2</v>
      </c>
    </row>
    <row r="249" spans="21:21">
      <c r="U249">
        <v>2</v>
      </c>
    </row>
    <row r="250" spans="21:21">
      <c r="U250">
        <v>2</v>
      </c>
    </row>
    <row r="251" spans="21:21">
      <c r="U251">
        <v>2</v>
      </c>
    </row>
    <row r="252" spans="21:21">
      <c r="U252">
        <v>2</v>
      </c>
    </row>
    <row r="253" spans="21:21">
      <c r="U253">
        <v>2</v>
      </c>
    </row>
    <row r="254" spans="21:21">
      <c r="U254">
        <v>2</v>
      </c>
    </row>
    <row r="255" spans="21:21">
      <c r="U255">
        <v>2</v>
      </c>
    </row>
    <row r="256" spans="21:21">
      <c r="U256">
        <v>2</v>
      </c>
    </row>
    <row r="257" spans="21:21">
      <c r="U257">
        <v>2</v>
      </c>
    </row>
    <row r="258" spans="21:21">
      <c r="U258">
        <v>2</v>
      </c>
    </row>
    <row r="259" spans="21:21">
      <c r="U259">
        <v>2</v>
      </c>
    </row>
    <row r="260" spans="21:21">
      <c r="U260">
        <v>2</v>
      </c>
    </row>
    <row r="261" spans="21:21">
      <c r="U261">
        <v>2</v>
      </c>
    </row>
    <row r="262" spans="21:21">
      <c r="U262">
        <v>2</v>
      </c>
    </row>
    <row r="263" spans="21:21">
      <c r="U263">
        <v>2</v>
      </c>
    </row>
    <row r="264" spans="21:21">
      <c r="U264">
        <v>2</v>
      </c>
    </row>
    <row r="265" spans="21:21">
      <c r="U265">
        <v>2</v>
      </c>
    </row>
    <row r="266" spans="21:21">
      <c r="U266">
        <v>2</v>
      </c>
    </row>
    <row r="267" spans="21:21">
      <c r="U267">
        <v>2</v>
      </c>
    </row>
    <row r="268" spans="21:21">
      <c r="U268">
        <v>2</v>
      </c>
    </row>
    <row r="269" spans="21:21">
      <c r="U269">
        <v>2</v>
      </c>
    </row>
    <row r="270" spans="21:21">
      <c r="U270">
        <v>2</v>
      </c>
    </row>
    <row r="271" spans="21:21">
      <c r="U271">
        <v>2</v>
      </c>
    </row>
    <row r="272" spans="21:21">
      <c r="U272">
        <v>2</v>
      </c>
    </row>
    <row r="273" spans="21:21">
      <c r="U273">
        <v>2</v>
      </c>
    </row>
    <row r="274" spans="21:21">
      <c r="U274">
        <v>2</v>
      </c>
    </row>
    <row r="275" spans="21:21">
      <c r="U275">
        <v>2</v>
      </c>
    </row>
    <row r="276" spans="21:21">
      <c r="U276">
        <v>2</v>
      </c>
    </row>
    <row r="277" spans="21:21">
      <c r="U277">
        <v>2</v>
      </c>
    </row>
    <row r="278" spans="21:21">
      <c r="U278">
        <v>2</v>
      </c>
    </row>
    <row r="279" spans="21:21">
      <c r="U279">
        <v>2</v>
      </c>
    </row>
    <row r="280" spans="21:21">
      <c r="U280">
        <v>2</v>
      </c>
    </row>
    <row r="281" spans="21:21">
      <c r="U281">
        <v>2</v>
      </c>
    </row>
    <row r="282" spans="21:21">
      <c r="U282">
        <v>2</v>
      </c>
    </row>
    <row r="283" spans="21:21">
      <c r="U283">
        <v>2</v>
      </c>
    </row>
    <row r="284" spans="21:21">
      <c r="U284">
        <v>2</v>
      </c>
    </row>
    <row r="285" spans="21:21">
      <c r="U285">
        <v>2</v>
      </c>
    </row>
    <row r="286" spans="21:21">
      <c r="U286">
        <v>2</v>
      </c>
    </row>
    <row r="287" spans="21:21">
      <c r="U287">
        <v>2</v>
      </c>
    </row>
    <row r="288" spans="21:21">
      <c r="U288">
        <v>2</v>
      </c>
    </row>
    <row r="289" spans="21:21">
      <c r="U289">
        <v>2</v>
      </c>
    </row>
    <row r="290" spans="21:21">
      <c r="U290">
        <v>2</v>
      </c>
    </row>
    <row r="291" spans="21:21">
      <c r="U291">
        <v>2</v>
      </c>
    </row>
    <row r="292" spans="21:21">
      <c r="U292">
        <v>2</v>
      </c>
    </row>
    <row r="293" spans="21:21">
      <c r="U293">
        <v>2</v>
      </c>
    </row>
    <row r="294" spans="21:21">
      <c r="U294">
        <v>2</v>
      </c>
    </row>
    <row r="295" spans="21:21">
      <c r="U295">
        <v>2</v>
      </c>
    </row>
    <row r="296" spans="21:21">
      <c r="U296">
        <v>2</v>
      </c>
    </row>
    <row r="297" spans="21:21">
      <c r="U297">
        <v>2</v>
      </c>
    </row>
    <row r="298" spans="21:21">
      <c r="U298">
        <v>2</v>
      </c>
    </row>
    <row r="299" spans="21:21">
      <c r="U299">
        <v>2</v>
      </c>
    </row>
    <row r="300" spans="21:21">
      <c r="U300">
        <v>2</v>
      </c>
    </row>
    <row r="301" spans="21:21">
      <c r="U301">
        <v>2</v>
      </c>
    </row>
    <row r="302" spans="21:21">
      <c r="U302">
        <v>2</v>
      </c>
    </row>
    <row r="303" spans="21:21">
      <c r="U303">
        <v>2</v>
      </c>
    </row>
    <row r="304" spans="21:21">
      <c r="U304">
        <v>2</v>
      </c>
    </row>
    <row r="305" spans="21:21">
      <c r="U305">
        <v>2</v>
      </c>
    </row>
    <row r="306" spans="21:21">
      <c r="U306">
        <v>2</v>
      </c>
    </row>
    <row r="307" spans="21:21">
      <c r="U307">
        <v>2</v>
      </c>
    </row>
    <row r="308" spans="21:21">
      <c r="U308">
        <v>2</v>
      </c>
    </row>
    <row r="309" spans="21:21">
      <c r="U309">
        <v>2</v>
      </c>
    </row>
    <row r="310" spans="21:21">
      <c r="U310">
        <v>2</v>
      </c>
    </row>
    <row r="311" spans="21:21">
      <c r="U311">
        <v>2</v>
      </c>
    </row>
    <row r="312" spans="21:21">
      <c r="U312">
        <v>2</v>
      </c>
    </row>
    <row r="313" spans="21:21">
      <c r="U313">
        <v>2</v>
      </c>
    </row>
    <row r="314" spans="21:21">
      <c r="U314">
        <v>2</v>
      </c>
    </row>
    <row r="315" spans="21:21">
      <c r="U315">
        <v>2</v>
      </c>
    </row>
    <row r="316" spans="21:21">
      <c r="U316">
        <v>2</v>
      </c>
    </row>
    <row r="317" spans="21:21">
      <c r="U317">
        <v>2</v>
      </c>
    </row>
    <row r="318" spans="21:21">
      <c r="U318">
        <v>2</v>
      </c>
    </row>
    <row r="319" spans="21:21">
      <c r="U319">
        <v>2</v>
      </c>
    </row>
    <row r="320" spans="21:21">
      <c r="U320">
        <v>2</v>
      </c>
    </row>
    <row r="321" spans="21:21">
      <c r="U321">
        <v>2</v>
      </c>
    </row>
    <row r="322" spans="21:21">
      <c r="U322">
        <v>2</v>
      </c>
    </row>
    <row r="323" spans="21:21">
      <c r="U323">
        <v>2</v>
      </c>
    </row>
    <row r="324" spans="21:21">
      <c r="U324">
        <v>2</v>
      </c>
    </row>
    <row r="325" spans="21:21">
      <c r="U325">
        <v>2</v>
      </c>
    </row>
    <row r="326" spans="21:21">
      <c r="U326">
        <v>2</v>
      </c>
    </row>
    <row r="327" spans="21:21">
      <c r="U327">
        <v>2</v>
      </c>
    </row>
    <row r="328" spans="21:21">
      <c r="U328">
        <v>2</v>
      </c>
    </row>
    <row r="329" spans="21:21">
      <c r="U329">
        <v>2</v>
      </c>
    </row>
    <row r="330" spans="21:21">
      <c r="U330">
        <v>2</v>
      </c>
    </row>
    <row r="331" spans="21:21">
      <c r="U331">
        <v>2</v>
      </c>
    </row>
    <row r="332" spans="21:21">
      <c r="U332">
        <v>2</v>
      </c>
    </row>
    <row r="333" spans="21:21">
      <c r="U333">
        <v>2</v>
      </c>
    </row>
    <row r="334" spans="21:21">
      <c r="U334">
        <v>2</v>
      </c>
    </row>
    <row r="335" spans="21:21">
      <c r="U335">
        <v>2</v>
      </c>
    </row>
    <row r="336" spans="21:21">
      <c r="U336">
        <v>2</v>
      </c>
    </row>
    <row r="337" spans="21:21">
      <c r="U337">
        <v>2</v>
      </c>
    </row>
    <row r="338" spans="21:21">
      <c r="U338">
        <v>2</v>
      </c>
    </row>
    <row r="339" spans="21:21">
      <c r="U339">
        <v>2</v>
      </c>
    </row>
    <row r="340" spans="21:21">
      <c r="U340">
        <v>2</v>
      </c>
    </row>
    <row r="341" spans="21:21">
      <c r="U341">
        <v>2</v>
      </c>
    </row>
    <row r="342" spans="21:21">
      <c r="U342">
        <v>2</v>
      </c>
    </row>
    <row r="343" spans="21:21">
      <c r="U343">
        <v>2</v>
      </c>
    </row>
    <row r="344" spans="21:21">
      <c r="U344">
        <v>2</v>
      </c>
    </row>
    <row r="345" spans="21:21">
      <c r="U345">
        <v>2</v>
      </c>
    </row>
    <row r="346" spans="21:21">
      <c r="U346">
        <v>2</v>
      </c>
    </row>
    <row r="347" spans="21:21">
      <c r="U347">
        <v>2</v>
      </c>
    </row>
    <row r="348" spans="21:21">
      <c r="U348">
        <v>2</v>
      </c>
    </row>
    <row r="349" spans="21:21">
      <c r="U349">
        <v>2</v>
      </c>
    </row>
    <row r="350" spans="21:21">
      <c r="U350">
        <v>2</v>
      </c>
    </row>
    <row r="351" spans="21:21">
      <c r="U351">
        <v>2</v>
      </c>
    </row>
    <row r="352" spans="21:21">
      <c r="U352">
        <v>2</v>
      </c>
    </row>
    <row r="353" spans="21:21">
      <c r="U353">
        <v>2</v>
      </c>
    </row>
    <row r="354" spans="21:21">
      <c r="U354">
        <v>2</v>
      </c>
    </row>
    <row r="355" spans="21:21">
      <c r="U355">
        <v>2</v>
      </c>
    </row>
    <row r="356" spans="21:21">
      <c r="U356">
        <v>2</v>
      </c>
    </row>
    <row r="357" spans="21:21">
      <c r="U357">
        <v>2</v>
      </c>
    </row>
    <row r="358" spans="21:21">
      <c r="U358">
        <v>2</v>
      </c>
    </row>
    <row r="359" spans="21:21">
      <c r="U359">
        <v>2</v>
      </c>
    </row>
    <row r="360" spans="21:21">
      <c r="U360">
        <v>2</v>
      </c>
    </row>
    <row r="361" spans="21:21">
      <c r="U361">
        <v>2</v>
      </c>
    </row>
    <row r="362" spans="21:21">
      <c r="U362">
        <v>2</v>
      </c>
    </row>
    <row r="363" spans="21:21">
      <c r="U363">
        <v>2</v>
      </c>
    </row>
    <row r="364" spans="21:21">
      <c r="U364">
        <v>2</v>
      </c>
    </row>
    <row r="365" spans="21:21">
      <c r="U365">
        <v>2</v>
      </c>
    </row>
    <row r="366" spans="21:21">
      <c r="U366">
        <v>2</v>
      </c>
    </row>
    <row r="367" spans="21:21">
      <c r="U367">
        <v>2</v>
      </c>
    </row>
    <row r="368" spans="21:21">
      <c r="U368">
        <v>2</v>
      </c>
    </row>
    <row r="369" spans="21:21">
      <c r="U369">
        <v>2</v>
      </c>
    </row>
    <row r="370" spans="21:21">
      <c r="U370">
        <v>2</v>
      </c>
    </row>
    <row r="371" spans="21:21">
      <c r="U371">
        <v>2</v>
      </c>
    </row>
    <row r="372" spans="21:21">
      <c r="U372">
        <v>2</v>
      </c>
    </row>
    <row r="373" spans="21:21">
      <c r="U373">
        <v>2</v>
      </c>
    </row>
    <row r="374" spans="21:21">
      <c r="U374">
        <v>2</v>
      </c>
    </row>
    <row r="375" spans="21:21">
      <c r="U375">
        <v>2</v>
      </c>
    </row>
    <row r="376" spans="21:21">
      <c r="U376">
        <v>2</v>
      </c>
    </row>
    <row r="377" spans="21:21">
      <c r="U377">
        <v>2</v>
      </c>
    </row>
    <row r="378" spans="21:21">
      <c r="U378">
        <v>2</v>
      </c>
    </row>
    <row r="379" spans="21:21">
      <c r="U379">
        <v>2</v>
      </c>
    </row>
    <row r="380" spans="21:21">
      <c r="U380">
        <v>2</v>
      </c>
    </row>
    <row r="381" spans="21:21">
      <c r="U381">
        <v>2</v>
      </c>
    </row>
    <row r="382" spans="21:21">
      <c r="U382">
        <v>2</v>
      </c>
    </row>
    <row r="383" spans="21:21">
      <c r="U383">
        <v>2</v>
      </c>
    </row>
    <row r="384" spans="21:21">
      <c r="U384">
        <v>2</v>
      </c>
    </row>
    <row r="385" spans="21:21">
      <c r="U385">
        <v>2</v>
      </c>
    </row>
  </sheetData>
  <mergeCells count="2">
    <mergeCell ref="D5:F5"/>
    <mergeCell ref="J5:L5"/>
  </mergeCells>
  <pageMargins left="0.75" right="0.75" top="1" bottom="1" header="0" footer="0"/>
  <pageSetup paperSize="9" scale="8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</sheetPr>
  <dimension ref="A1:X17"/>
  <sheetViews>
    <sheetView zoomScale="85" zoomScaleNormal="85" workbookViewId="0">
      <selection activeCell="A2" sqref="A2"/>
    </sheetView>
  </sheetViews>
  <sheetFormatPr baseColWidth="10" defaultColWidth="12.85546875" defaultRowHeight="15"/>
  <cols>
    <col min="1" max="1" width="5.7109375" style="4" customWidth="1"/>
    <col min="2" max="2" width="4.7109375" style="4" customWidth="1"/>
    <col min="3" max="3" width="5.42578125" style="4" customWidth="1"/>
    <col min="4" max="4" width="8" style="4" customWidth="1"/>
    <col min="5" max="5" width="13.5703125" style="4" customWidth="1"/>
    <col min="6" max="6" width="8.5703125" style="4" customWidth="1"/>
    <col min="7" max="7" width="4.85546875" style="4" customWidth="1"/>
    <col min="8" max="8" width="3" style="4" customWidth="1"/>
    <col min="9" max="9" width="9.28515625" style="4" customWidth="1"/>
    <col min="10" max="10" width="5.7109375" style="4" customWidth="1"/>
    <col min="11" max="11" width="13.7109375" style="4" customWidth="1"/>
    <col min="12" max="12" width="4.28515625" style="4" customWidth="1"/>
    <col min="13" max="13" width="16.42578125" style="4" customWidth="1"/>
    <col min="14" max="14" width="38.7109375" style="4" customWidth="1"/>
    <col min="15" max="15" width="6.42578125" style="4" customWidth="1"/>
    <col min="16" max="16" width="8" style="4" customWidth="1"/>
    <col min="17" max="17" width="8.140625" style="4" customWidth="1"/>
    <col min="18" max="18" width="7.140625" style="4" customWidth="1"/>
    <col min="19" max="19" width="9" style="4" customWidth="1"/>
    <col min="20" max="20" width="9.140625" style="4" customWidth="1"/>
    <col min="21" max="21" width="15" style="4" customWidth="1"/>
    <col min="22" max="22" width="3" style="4" customWidth="1"/>
    <col min="23" max="23" width="16.28515625" style="4" customWidth="1"/>
    <col min="24" max="24" width="25.7109375" style="4" bestFit="1" customWidth="1"/>
    <col min="25" max="16384" width="12.85546875" style="3"/>
  </cols>
  <sheetData>
    <row r="1" spans="1:24">
      <c r="A1" s="16">
        <v>142</v>
      </c>
    </row>
    <row r="2" spans="1:24" s="4" customFormat="1" ht="12" customHeight="1"/>
    <row r="3" spans="1:24" s="4" customFormat="1" ht="10.5" customHeight="1">
      <c r="B3" s="4">
        <v>116</v>
      </c>
    </row>
    <row r="4" spans="1:24" s="4" customFormat="1" ht="34.5" customHeight="1">
      <c r="C4" s="28" t="str">
        <f>VLOOKUP($A$1,BAUTIZMO!$A$6:$W$201,2,FALSE)</f>
        <v>CHRISTIAN DARIEL RAMOS GALVEZ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4" s="25" customFormat="1" ht="18.75" customHeight="1">
      <c r="B5" s="29"/>
      <c r="C5" s="30" t="str">
        <f>VLOOKUP($A$1,BAUTIZMO!$A$6:$W$201,19,FALSE)</f>
        <v>19 ABRIL DE 2024</v>
      </c>
      <c r="D5" s="30"/>
      <c r="E5" s="30"/>
      <c r="F5" s="49"/>
      <c r="G5" s="29"/>
      <c r="I5" s="160">
        <f>VLOOKUP($A$1,BAUTIZMO!$A$6:$W$201,17,FALSE)</f>
        <v>1623</v>
      </c>
      <c r="J5" s="160"/>
      <c r="K5" s="30"/>
      <c r="L5" s="30"/>
      <c r="N5" s="31"/>
    </row>
    <row r="6" spans="1:24" s="25" customFormat="1" ht="18.75" customHeight="1">
      <c r="C6" s="30" t="str">
        <f>VLOOKUP($A$1,BAUTIZMO!$A$6:$W$201,7,FALSE)</f>
        <v>HERMOSILLO, SONORA</v>
      </c>
      <c r="D6" s="30"/>
      <c r="E6" s="30"/>
      <c r="F6" s="30"/>
      <c r="G6" s="30"/>
      <c r="H6" s="30"/>
      <c r="I6" s="30"/>
      <c r="J6" s="30"/>
      <c r="K6" s="30"/>
      <c r="L6" s="30"/>
      <c r="M6" s="32"/>
      <c r="N6" s="31"/>
    </row>
    <row r="7" spans="1:24" s="54" customFormat="1" ht="15.75" customHeight="1">
      <c r="A7" s="57" t="s">
        <v>129</v>
      </c>
      <c r="C7" s="53" t="str">
        <f>VLOOKUP($A$1,BAUTIZMO!$A$6:$W$201,8,FALSE)&amp;A7&amp;VLOOKUP($A$1,BAUTIZMO!$A$6:$W$201,9,FALSE)</f>
        <v>JESUS ARMANDO RAMOS DORAME Y ANA PAULINA GALVEZ BUSTAMANTE</v>
      </c>
      <c r="E7" s="42"/>
      <c r="F7" s="42"/>
      <c r="G7" s="73"/>
      <c r="H7" s="74"/>
      <c r="I7" s="73"/>
      <c r="J7" s="73"/>
      <c r="K7" s="73"/>
      <c r="L7" s="53"/>
      <c r="M7" s="53"/>
    </row>
    <row r="8" spans="1:24" s="25" customFormat="1" ht="18.75" customHeight="1">
      <c r="B8" s="27"/>
      <c r="C8" s="30" t="str">
        <f>VLOOKUP($A$1,BAUTIZMO!$A$6:$W$201,14,FALSE)</f>
        <v>CRISTA ANGELICA RAMOS DORAME</v>
      </c>
      <c r="G8" s="27"/>
      <c r="H8" s="36"/>
      <c r="I8" s="30"/>
      <c r="J8" s="30"/>
      <c r="M8" s="26"/>
      <c r="N8" s="30"/>
    </row>
    <row r="9" spans="1:24" s="33" customFormat="1" ht="18" customHeight="1">
      <c r="A9" s="25"/>
      <c r="B9" s="25"/>
      <c r="C9" s="30" t="str">
        <f>VLOOKUP($A$1,BAUTIZMO!$A$6:$W$201,15,FALSE)</f>
        <v>MARIA JOSE RAMOS DORAME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</row>
    <row r="10" spans="1:24" s="25" customFormat="1" ht="21.75" customHeight="1">
      <c r="B10" s="27"/>
      <c r="E10" s="30" t="str">
        <f>VLOOKUP($A$1,BAUTIZMO!$A$6:$W$201,20,FALSE)</f>
        <v>6 JUNIO DE 2026</v>
      </c>
      <c r="F10" s="30"/>
      <c r="G10" s="30"/>
      <c r="H10" s="30"/>
      <c r="J10" s="30"/>
      <c r="K10" s="29"/>
      <c r="N10" s="34"/>
    </row>
    <row r="11" spans="1:24" s="25" customFormat="1" ht="15.75" customHeight="1">
      <c r="B11" s="27"/>
      <c r="D11" s="54"/>
      <c r="E11" s="54"/>
      <c r="F11" s="53"/>
      <c r="G11" s="53"/>
      <c r="H11" s="53"/>
      <c r="I11" s="54"/>
      <c r="J11" s="53"/>
      <c r="K11" s="117"/>
      <c r="N11" s="34"/>
    </row>
    <row r="12" spans="1:24" s="25" customFormat="1" ht="21.75" customHeight="1">
      <c r="B12" s="27"/>
      <c r="C12" s="56">
        <f>VLOOKUP($A$1,BAUTIZMO!$A$6:$W$201,21,FALSE)</f>
        <v>2</v>
      </c>
      <c r="D12" s="52" t="s">
        <v>48</v>
      </c>
      <c r="E12" s="50">
        <f>VLOOKUP($A$1,BAUTIZMO!$A$6:$W$201,22,FALSE)</f>
        <v>269</v>
      </c>
      <c r="H12" s="161">
        <f>VLOOKUP($A$1,BAUTIZMO!$A$6:$W$201,23,FALSE)</f>
        <v>537</v>
      </c>
      <c r="I12" s="161"/>
      <c r="M12" s="41"/>
      <c r="N12" s="34"/>
    </row>
    <row r="13" spans="1:24" s="25" customFormat="1" ht="21.75" customHeight="1">
      <c r="B13" s="35"/>
      <c r="C13" s="35"/>
      <c r="G13" s="35"/>
      <c r="H13" s="35"/>
      <c r="I13" s="35"/>
      <c r="J13" s="35"/>
      <c r="N13" s="35"/>
    </row>
    <row r="14" spans="1:24" s="25" customFormat="1" ht="16.5" customHeight="1">
      <c r="B14" s="35"/>
      <c r="C14" s="30"/>
      <c r="D14" s="30"/>
      <c r="E14" s="30"/>
      <c r="G14" s="30"/>
      <c r="H14" s="30" t="s">
        <v>40</v>
      </c>
      <c r="I14" s="30"/>
      <c r="J14" s="30"/>
      <c r="K14" s="30"/>
      <c r="L14" s="30"/>
      <c r="N14" s="35"/>
    </row>
    <row r="15" spans="1:24" s="4" customFormat="1" ht="14.25" customHeight="1">
      <c r="C15" s="42" t="s">
        <v>4436</v>
      </c>
      <c r="I15" s="7"/>
      <c r="J15" s="7"/>
      <c r="K15" s="6"/>
      <c r="L15" s="6"/>
    </row>
    <row r="16" spans="1:24">
      <c r="C16" s="42"/>
      <c r="D16" s="42" t="s">
        <v>4437</v>
      </c>
    </row>
    <row r="17" spans="2:14" s="4" customFormat="1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</sheetData>
  <sheetProtection password="B477"/>
  <mergeCells count="2">
    <mergeCell ref="I5:J5"/>
    <mergeCell ref="H12:I12"/>
  </mergeCells>
  <pageMargins left="2.4803149606299213" right="0.15748031496062992" top="1.6535433070866143" bottom="5.3543307086614176" header="0.15748031496062992" footer="0.15748031496062992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7030A0"/>
  </sheetPr>
  <dimension ref="A1"/>
  <sheetViews>
    <sheetView workbookViewId="0"/>
  </sheetViews>
  <sheetFormatPr baseColWidth="10" defaultRowHeight="12.75"/>
  <cols>
    <col min="1" max="1" width="49" customWidth="1"/>
    <col min="2" max="2" width="3.5703125" customWidth="1"/>
    <col min="5" max="5" width="33.42578125" customWidth="1"/>
    <col min="6" max="6" width="35.7109375" customWidth="1"/>
  </cols>
  <sheetData>
    <row r="1" spans="1:1">
      <c r="A1" s="43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B050"/>
  </sheetPr>
  <dimension ref="A1:X20"/>
  <sheetViews>
    <sheetView zoomScale="85" workbookViewId="0">
      <selection activeCell="A2" sqref="A2"/>
    </sheetView>
  </sheetViews>
  <sheetFormatPr baseColWidth="10" defaultColWidth="12.85546875" defaultRowHeight="15"/>
  <cols>
    <col min="1" max="1" width="7" style="4" customWidth="1"/>
    <col min="2" max="2" width="1.42578125" style="4" customWidth="1"/>
    <col min="3" max="3" width="14.42578125" style="4" customWidth="1"/>
    <col min="4" max="4" width="7.85546875" style="4" customWidth="1"/>
    <col min="5" max="5" width="11" style="4" customWidth="1"/>
    <col min="6" max="6" width="6" style="4" customWidth="1"/>
    <col min="7" max="7" width="8.5703125" style="4" customWidth="1"/>
    <col min="8" max="8" width="6.5703125" style="4" customWidth="1"/>
    <col min="9" max="9" width="5" style="4" customWidth="1"/>
    <col min="10" max="10" width="4.7109375" style="4" customWidth="1"/>
    <col min="11" max="11" width="3" style="4" customWidth="1"/>
    <col min="12" max="12" width="5.7109375" style="4" customWidth="1"/>
    <col min="13" max="13" width="17.85546875" style="4" customWidth="1"/>
    <col min="14" max="14" width="11" style="4" customWidth="1"/>
    <col min="15" max="15" width="8" style="4" customWidth="1"/>
    <col min="16" max="16" width="8.140625" style="4" customWidth="1"/>
    <col min="17" max="17" width="7.140625" style="4" customWidth="1"/>
    <col min="18" max="18" width="9" style="4" customWidth="1"/>
    <col min="19" max="19" width="9.140625" style="4" customWidth="1"/>
    <col min="20" max="20" width="15" style="4" customWidth="1"/>
    <col min="21" max="21" width="3" style="4" customWidth="1"/>
    <col min="22" max="22" width="16.28515625" style="4" customWidth="1"/>
    <col min="23" max="23" width="25.7109375" style="4" bestFit="1" customWidth="1"/>
    <col min="24" max="16384" width="12.85546875" style="3"/>
  </cols>
  <sheetData>
    <row r="1" spans="1:24">
      <c r="A1" s="16">
        <v>229</v>
      </c>
    </row>
    <row r="2" spans="1:24" ht="12" customHeight="1"/>
    <row r="3" spans="1:24" ht="21.75" customHeight="1"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</row>
    <row r="4" spans="1:24" ht="4.5" customHeight="1">
      <c r="G4" s="94"/>
      <c r="H4" s="94"/>
      <c r="I4" s="94"/>
      <c r="J4" s="94"/>
      <c r="K4" s="94"/>
      <c r="L4" s="94"/>
      <c r="M4" s="94"/>
    </row>
    <row r="5" spans="1:24" s="4" customFormat="1" ht="7.5" customHeight="1">
      <c r="G5" s="94"/>
      <c r="H5" s="94"/>
      <c r="I5" s="94"/>
      <c r="J5" s="94"/>
      <c r="K5" s="94"/>
      <c r="L5" s="94"/>
      <c r="M5" s="94"/>
      <c r="X5" s="3"/>
    </row>
    <row r="6" spans="1:24" s="4" customFormat="1" ht="85.5" customHeight="1">
      <c r="C6" s="152" t="str">
        <f>LOOKUP($A$1,'1ra.COMUNION'!$B$5:C3010)</f>
        <v>DANNA CORONADO OLIVAS</v>
      </c>
      <c r="D6" s="152"/>
      <c r="E6" s="152"/>
      <c r="F6" s="152"/>
      <c r="G6" s="152"/>
      <c r="H6" s="152"/>
      <c r="I6" s="152"/>
      <c r="J6" s="152"/>
      <c r="K6" s="152"/>
      <c r="L6" s="152"/>
      <c r="M6" s="152"/>
      <c r="X6" s="3"/>
    </row>
    <row r="7" spans="1:24" ht="6" customHeight="1"/>
    <row r="8" spans="1:24" s="4" customFormat="1" ht="27" customHeight="1">
      <c r="A8" s="15"/>
      <c r="D8" s="15" t="str">
        <f>IF(LOOKUP($A$1,'1ra.COMUNION'!$B$5:D3010)=0," ",LOOKUP($A$1,'1ra.COMUNION'!$B$5:G3010))</f>
        <v>DANIEL EDUARDO CORONADO MOLINA</v>
      </c>
      <c r="F8" s="15"/>
      <c r="G8" s="15"/>
      <c r="I8" s="60" t="str">
        <f>IF(LOOKUP($A$1,'1ra.COMUNION'!$B$5:H3010)=0," ",LOOKUP($A$1,'1ra.COMUNION'!$B$5:H3010))</f>
        <v>MARTINA OLIVAS BERNAL</v>
      </c>
      <c r="L8" s="15"/>
      <c r="N8" s="15"/>
      <c r="O8" s="15"/>
      <c r="P8" s="15"/>
      <c r="Q8" s="15"/>
      <c r="R8" s="15"/>
      <c r="X8" s="3"/>
    </row>
    <row r="9" spans="1:24" s="4" customFormat="1" ht="33" customHeight="1">
      <c r="C9" s="14"/>
      <c r="D9" s="14"/>
      <c r="E9" s="14"/>
      <c r="F9" s="14"/>
      <c r="G9" s="14"/>
      <c r="H9" s="19">
        <f>LOOKUP(A1,'1ra.COMUNION'!B5:D3010)</f>
        <v>1</v>
      </c>
      <c r="K9" s="19" t="str">
        <f>LOOKUP(A1,'1ra.COMUNION'!B5:E3010)</f>
        <v>JUNIO</v>
      </c>
      <c r="M9" s="59">
        <f>LOOKUP(A1,'1ra.COMUNION'!B5:F3010)</f>
        <v>2024</v>
      </c>
      <c r="X9" s="3"/>
    </row>
    <row r="10" spans="1:24" s="4" customFormat="1" ht="12" customHeight="1"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X10" s="3"/>
    </row>
    <row r="11" spans="1:24" s="4" customFormat="1" ht="13.5" customHeight="1"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X11" s="3"/>
    </row>
    <row r="12" spans="1:24" s="4" customFormat="1" ht="45" customHeight="1">
      <c r="C12" s="155" t="str">
        <f>LOOKUP($A$1,'1ra.COMUNION'!$B$5:I3010)</f>
        <v>DAVID ENRIQUE CORONADO MOLINA Y MARIA DEL CONSUELO MORA MENESES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X12" s="3"/>
    </row>
    <row r="13" spans="1:24" s="4" customFormat="1" ht="24.75" customHeight="1">
      <c r="N13" s="18"/>
      <c r="X13" s="3"/>
    </row>
    <row r="14" spans="1:24" s="4" customFormat="1" ht="16.5" customHeight="1">
      <c r="E14" s="7"/>
      <c r="G14" s="7"/>
      <c r="H14" s="6"/>
      <c r="I14" s="51" t="str">
        <f>LOOKUP($A$1,'1ra.COMUNION'!$B$5:J3010)</f>
        <v>PBRO. GERARDO CAMACHO PONCE</v>
      </c>
      <c r="J14" s="6"/>
      <c r="K14" s="6"/>
      <c r="L14" s="51"/>
      <c r="M14" s="51"/>
      <c r="X14" s="3"/>
    </row>
    <row r="15" spans="1:24" s="4" customFormat="1" ht="22.5" customHeight="1">
      <c r="G15" s="7"/>
      <c r="H15" s="6"/>
      <c r="I15" s="6"/>
      <c r="J15" s="6"/>
      <c r="K15" s="6"/>
      <c r="X15" s="3"/>
    </row>
    <row r="20" spans="3:24" s="4" customFormat="1">
      <c r="C20" s="17" t="s">
        <v>29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X20" s="3"/>
    </row>
  </sheetData>
  <mergeCells count="3">
    <mergeCell ref="C3:M3"/>
    <mergeCell ref="C6:M6"/>
    <mergeCell ref="C12:M12"/>
  </mergeCells>
  <pageMargins left="0.23622047244094491" right="0.23622047244094491" top="0.98425196850393704" bottom="0.74803149606299213" header="0.15748031496062992" footer="0.31496062992125984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9</vt:i4>
      </vt:variant>
    </vt:vector>
  </HeadingPairs>
  <TitlesOfParts>
    <vt:vector size="19" baseType="lpstr">
      <vt:lpstr>MATRIMONIO</vt:lpstr>
      <vt:lpstr>IMPRESION-MATRIMONIO</vt:lpstr>
      <vt:lpstr>1ra.COMUNION</vt:lpstr>
      <vt:lpstr>IMPRESION-COMUNION</vt:lpstr>
      <vt:lpstr>CONFIRMACION</vt:lpstr>
      <vt:lpstr>IMPRESION-CONFIRMACION</vt:lpstr>
      <vt:lpstr>BAUTIZMO</vt:lpstr>
      <vt:lpstr>IMPRESION-BAUTIZMO</vt:lpstr>
      <vt:lpstr>CATECUMENOS </vt:lpstr>
      <vt:lpstr>IMPRESION-COMUNION (2)</vt:lpstr>
      <vt:lpstr>'1ra.COMUNION'!Área_de_impresión</vt:lpstr>
      <vt:lpstr>BAUTIZMO!Área_de_impresión</vt:lpstr>
      <vt:lpstr>CONFIRMACION!Área_de_impresión</vt:lpstr>
      <vt:lpstr>'IMPRESION-BAUTIZMO'!Área_de_impresión</vt:lpstr>
      <vt:lpstr>'IMPRESION-COMUNION'!Área_de_impresión</vt:lpstr>
      <vt:lpstr>'IMPRESION-COMUNION (2)'!Área_de_impresión</vt:lpstr>
      <vt:lpstr>'IMPRESION-CONFIRMACION'!Área_de_impresión</vt:lpstr>
      <vt:lpstr>'IMPRESION-MATRIMONIO'!Área_de_impresión</vt:lpstr>
      <vt:lpstr>MATRIMONIO!Área_de_impresión</vt:lpstr>
    </vt:vector>
  </TitlesOfParts>
  <Company>Universidad de Sonora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 JESUS RIVERA BRICEÑO</dc:creator>
  <cp:lastModifiedBy>hp1</cp:lastModifiedBy>
  <cp:lastPrinted>2026-06-19T01:22:07Z</cp:lastPrinted>
  <dcterms:created xsi:type="dcterms:W3CDTF">2010-06-02T17:49:56Z</dcterms:created>
  <dcterms:modified xsi:type="dcterms:W3CDTF">2026-06-19T01:23:10Z</dcterms:modified>
</cp:coreProperties>
</file>